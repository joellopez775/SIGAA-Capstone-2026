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7d0f30941245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64809d2566c1416e"/>
    <x:sheet xmlns:r="http://schemas.openxmlformats.org/officeDocument/2006/relationships" name="Calendario Duoc" sheetId="2" r:id="Rb527eab52dab4f81"/>
    <x:sheet xmlns:r="http://schemas.openxmlformats.org/officeDocument/2006/relationships" name="Sprints" sheetId="3" r:id="R2391460dc3e14d82"/>
    <x:sheet xmlns:r="http://schemas.openxmlformats.org/officeDocument/2006/relationships" name="Product Backlog" sheetId="4" r:id="Raaafaa8ad1344a1a"/>
    <x:sheet xmlns:r="http://schemas.openxmlformats.org/officeDocument/2006/relationships" name="Gantt 18 semanas" sheetId="5" r:id="Rbdfbd38313d84d53"/>
    <x:sheet xmlns:r="http://schemas.openxmlformats.org/officeDocument/2006/relationships" name="Entregables" sheetId="6" r:id="R431ca8fdd9ce440f"/>
    <x:sheet xmlns:r="http://schemas.openxmlformats.org/officeDocument/2006/relationships" name="Rubrica F1" sheetId="7" r:id="Rdfe4fa7b6c62496d"/>
    <x:sheet xmlns:r="http://schemas.openxmlformats.org/officeDocument/2006/relationships" name="RACI" sheetId="8" r:id="R69d68f56665e4f86"/>
    <x:sheet xmlns:r="http://schemas.openxmlformats.org/officeDocument/2006/relationships" name="Riesgos" sheetId="9" r:id="R2a7c11ccb68c481b"/>
    <x:sheet xmlns:r="http://schemas.openxmlformats.org/officeDocument/2006/relationships" name="DoD" sheetId="10" r:id="R34ba53a3407a4ad1"/>
    <x:sheet xmlns:r="http://schemas.openxmlformats.org/officeDocument/2006/relationships" name="Burndown" sheetId="11" r:id="Rbd1382e3eaf84d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&quot;S&quot;0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7365D"/>
      <x:name val="Carlito"/>
    </x:font>
    <x:font>
      <x:b/>
      <x:sz val="11"/>
      <x:color rgb="FF17365D"/>
      <x:name val="Carlito"/>
    </x:font>
    <x:font>
      <x:sz val="9"/>
      <x:color rgb="FF1F1F1F"/>
      <x:name val="Carlito"/>
    </x:font>
    <x:font>
      <x:b/>
      <x:sz val="9"/>
      <x:color rgb="FF17365D"/>
      <x:name val="Carlito"/>
    </x:font>
    <x:font>
      <x:b/>
      <x:sz val="10"/>
      <x:color rgb="FFFFFFFF"/>
      <x:name val="Carlito"/>
    </x:font>
    <x:font>
      <x:b/>
      <x:sz val="13"/>
      <x:color rgb="FF1F4E78"/>
      <x:name val="Carlito"/>
    </x:font>
    <x:font>
      <x:b/>
      <x:sz val="9"/>
      <x:color rgb="FF1F4E78"/>
      <x:name val="Carlito"/>
    </x:font>
    <x:font>
      <x:sz val="10"/>
      <x:color rgb="FF666666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F4F7FA"/>
      </x:patternFill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horizontal="center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200" fontId="7" fillId="0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8" fillId="0" borderId="1" xfId="0" applyNumberFormat="1" applyFont="1" applyFill="1" applyBorder="1" applyAlignment="1">
      <x:alignment vertical="top" wrapText="1"/>
    </x:xf>
    <x:xf numFmtId="201" fontId="6" fillId="5" borderId="1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center"/>
    </x:xf>
    <x:xf numFmtId="0" fontId="7" fillId="0" borderId="1" xfId="0" applyNumberFormat="1" applyFont="1" applyFill="1" applyBorder="1" applyAlignment="1">
      <x:alignment horizontal="center" vertical="top" wrapText="1"/>
    </x:xf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9" fillId="4" borderId="0" xfId="0" applyNumberFormat="1" applyFont="1" applyFill="1" applyBorder="1"/>
    <x:xf numFmtId="0" fontId="9" fillId="4" borderId="1" xfId="0" applyNumberFormat="1" applyFont="1" applyFill="1" applyBorder="1"/>
    <x:xf numFmtId="0" fontId="9" fillId="4" borderId="1" xfId="0" applyNumberFormat="1" applyFont="1" applyFill="1" applyBorder="1" applyAlignment="1">
      <x:alignment wrapText="1"/>
    </x:xf>
  </x:cellXfs>
  <x:cellStyles count="1">
    <x:cellStyle name="Normal" xfId="0"/>
  </x:cellStyles>
  <x:dxfs count="19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C00000"/>
      </x:font>
      <x:fill>
        <x:patternFill patternType="solid">
          <x:bgColor rgb="FFF4CCCC"/>
        </x:patternFill>
      </x:fill>
    </x:dxf>
    <x:dxf>
      <x:font>
        <x:b/>
        <x:color rgb="FF17365D"/>
      </x:font>
      <x:fill>
        <x:patternFill patternType="solid">
          <x:bgColor rgb="FFFFD96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C00000"/>
      </x:font>
      <x:fill>
        <x:patternFill patternType="solid">
          <x:bgColor rgb="FFF4CC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C00000"/>
      </x:font>
      <x:fill>
        <x:patternFill patternType="solid">
          <x:bgColor rgb="FFF4CCCC"/>
        </x:patternFill>
      </x:fill>
    </x:dxf>
    <x:dxf>
      <x:font>
        <x:b/>
        <x:color rgb="FFC00000"/>
      </x:font>
      <x:fill>
        <x:patternFill patternType="solid">
          <x:bgColor rgb="FFF4CC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C00000"/>
      </x:font>
      <x:fill>
        <x:patternFill patternType="solid">
          <x:bgColor rgb="FFF4CC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C00000"/>
      </x:font>
      <x:fill>
        <x:patternFill patternType="solid">
          <x:bgColor rgb="FFF4CCCC"/>
        </x:patternFill>
      </x:fill>
    </x:dxf>
    <x:dxf>
      <x:font>
        <x:b/>
        <x:color rgb="FFC00000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43d60fb99b41e3" /><Relationship Type="http://schemas.openxmlformats.org/officeDocument/2006/relationships/theme" Target="/xl/theme/theme1.xml" Id="R6f7f922addbe4bd9" /><Relationship Type="http://schemas.openxmlformats.org/officeDocument/2006/relationships/sharedStrings" Target="/xl/sharedStrings.xml" Id="R8909d365fb8b4ff7" /><Relationship Type="http://schemas.openxmlformats.org/officeDocument/2006/relationships/worksheet" Target="/xl/worksheets/sheet1.xml" Id="R64809d2566c1416e" /><Relationship Type="http://schemas.openxmlformats.org/officeDocument/2006/relationships/worksheet" Target="/xl/worksheets/sheet2.xml" Id="Rb527eab52dab4f81" /><Relationship Type="http://schemas.openxmlformats.org/officeDocument/2006/relationships/worksheet" Target="/xl/worksheets/sheet3.xml" Id="R2391460dc3e14d82" /><Relationship Type="http://schemas.openxmlformats.org/officeDocument/2006/relationships/worksheet" Target="/xl/worksheets/sheet4.xml" Id="Raaafaa8ad1344a1a" /><Relationship Type="http://schemas.openxmlformats.org/officeDocument/2006/relationships/worksheet" Target="/xl/worksheets/sheet5.xml" Id="Rbdfbd38313d84d53" /><Relationship Type="http://schemas.openxmlformats.org/officeDocument/2006/relationships/worksheet" Target="/xl/worksheets/sheet6.xml" Id="R431ca8fdd9ce440f" /><Relationship Type="http://schemas.openxmlformats.org/officeDocument/2006/relationships/worksheet" Target="/xl/worksheets/sheet7.xml" Id="Rdfe4fa7b6c62496d" /><Relationship Type="http://schemas.openxmlformats.org/officeDocument/2006/relationships/worksheet" Target="/xl/worksheets/sheet8.xml" Id="R69d68f56665e4f86" /><Relationship Type="http://schemas.openxmlformats.org/officeDocument/2006/relationships/worksheet" Target="/xl/worksheets/sheet9.xml" Id="R2a7c11ccb68c481b" /><Relationship Type="http://schemas.openxmlformats.org/officeDocument/2006/relationships/worksheet" Target="/xl/worksheets/sheet10.xml" Id="R34ba53a3407a4ad1" /><Relationship Type="http://schemas.openxmlformats.org/officeDocument/2006/relationships/worksheet" Target="/xl/worksheets/sheet11.xml" Id="Rbd1382e3eaf84d0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7495c8a6142470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Trabajo restante: ideal vs. real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Ideal</c:v>
          </c:tx>
          <c:marker>
            <c:symbol val="none"/>
          </c:marker>
          <c:cat>
            <c:strRef>
              <c:f>'Burndown'!$A$11:$A$21</c:f>
              <c:strCache>
                <c:ptCount val="0"/>
              </c:strCache>
            </c:strRef>
          </c:cat>
          <c:val>
            <c:numRef>
              <c:f>'Burndown'!$B$11:$B$21</c:f>
              <c:numCache>
                <c:formatCode>0</c:formatCode>
                <c:ptCount val="0"/>
              </c:numCache>
            </c:numRef>
          </c:val>
          <c:smooth val="0"/>
        </c:ser>
        <c:ser>
          <c:idx val="1"/>
          <c:order val="1"/>
          <c:tx>
            <c:v>Real</c:v>
          </c:tx>
          <c:marker>
            <c:symbol val="none"/>
          </c:marker>
          <c:cat>
            <c:strRef>
              <c:f>'Burndown'!$A$11:$A$21</c:f>
              <c:strCache>
                <c:ptCount val="0"/>
              </c:strCache>
            </c:strRef>
          </c:cat>
          <c:val>
            <c:numRef>
              <c:f>'Burndown'!$C$11:$C$21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3</xdr:row>
      <xdr:rowOff>0</xdr:rowOff>
    </xdr:from>
    <xdr:to>
      <xdr:col>10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7495c8a6142470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IGAA">
  <a:themeElements>
    <a:clrScheme name="SIGA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IGAA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1997e53eb097422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8" hidden="0" customWidth="1"/>
    <x:col min="3" max="3" width="30" hidden="0" customWidth="1"/>
    <x:col min="4" max="4" width="16" hidden="0" customWidth="1"/>
    <x:col min="5" max="5" width="16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1.600000381469727" hidden="0" customHeight="1">
      <x:c r="A1" s="4" t="str">
        <x:v>SIGAA · Plan maestro Capstone 2026</x:v>
      </x:c>
      <x:c r="B1" s="4" t="str">
        <x:v>SIGAA · Plan maestro Capstone 2026</x:v>
      </x:c>
      <x:c r="C1" s="4" t="str">
        <x:v>SIGAA · Plan maestro Capstone 2026</x:v>
      </x:c>
      <x:c r="D1" s="4" t="str">
        <x:v>SIGAA · Plan maestro Capstone 2026</x:v>
      </x:c>
      <x:c r="E1" s="4" t="str">
        <x:v>SIGAA · Plan maestro Capstone 2026</x:v>
      </x:c>
      <x:c r="F1" s="4" t="str">
        <x:v>SIGAA · Plan maestro Capstone 2026</x:v>
      </x:c>
      <x:c r="G1" s="4" t="str">
        <x:v>SIGAA · Plan maestro Capstone 2026</x:v>
      </x:c>
      <x:c r="H1" s="4" t="str">
        <x:v>SIGAA · Plan maestro Capstone 2026</x:v>
      </x:c>
    </x:row>
    <x:row r="2" ht="15" hidden="0" customHeight="1">
      <x:c r="A2" s="7" t="str">
        <x:v>Sistema Inteligente de Gestión y Alerta Académica · versión inicial para validación del equipo</x:v>
      </x:c>
      <x:c r="B2" s="7" t="str">
        <x:v>Sistema Inteligente de Gestión y Alerta Académica · versión inicial para validación del equipo</x:v>
      </x:c>
      <x:c r="C2" s="7" t="str">
        <x:v>Sistema Inteligente de Gestión y Alerta Académica · versión inicial para validación del equipo</x:v>
      </x:c>
      <x:c r="D2" s="7" t="str">
        <x:v>Sistema Inteligente de Gestión y Alerta Académica · versión inicial para validación del equipo</x:v>
      </x:c>
      <x:c r="E2" s="7" t="str">
        <x:v>Sistema Inteligente de Gestión y Alerta Académica · versión inicial para validación del equipo</x:v>
      </x:c>
      <x:c r="F2" s="7" t="str">
        <x:v>Sistema Inteligente de Gestión y Alerta Académica · versión inicial para validación del equipo</x:v>
      </x:c>
      <x:c r="G2" s="7" t="str">
        <x:v>Sistema Inteligente de Gestión y Alerta Académica · versión inicial para validación del equipo</x:v>
      </x:c>
      <x:c r="H2" s="7" t="str">
        <x:v>Sistema Inteligente de Gestión y Alerta Académica · versión inicial para validación del equipo</x:v>
      </x:c>
    </x:row>
    <x:row r="3"/>
    <x:row r="4" ht="15" hidden="0" customHeight="1">
      <x:c r="A4" s="9" t="str">
        <x:v>Definición del proyecto</x:v>
      </x:c>
      <x:c r="B4" s="9" t="str">
        <x:v>Definición del proyecto</x:v>
      </x:c>
      <x:c r="C4" s="9" t="str">
        <x:v>Definición del proyecto</x:v>
      </x:c>
      <x:c r="D4" s="9" t="str">
        <x:v>Definición del proyecto</x:v>
      </x:c>
      <x:c r="F4" s="9" t="str">
        <x:v>Indicadores del plan</x:v>
      </x:c>
      <x:c r="G4" s="9" t="str">
        <x:v>Indicadores del plan</x:v>
      </x:c>
      <x:c r="H4" s="9" t="str">
        <x:v>Indicadores del plan</x:v>
      </x:c>
    </x:row>
    <x:row r="5" ht="15.600000381469727" hidden="0" customHeight="1">
      <x:c r="A5" s="15" t="str">
        <x:v>Proyecto</x:v>
      </x:c>
      <x:c r="B5" s="13" t="str">
        <x:v>SIGAA</x:v>
      </x:c>
      <x:c r="F5" s="15" t="str">
        <x:v>Historias / ítems</x:v>
      </x:c>
      <x:c r="G5" s="23" t="n">
        <x:f>COUNTA('Product Backlog'!A5:A80)</x:f>
        <x:v>34</x:v>
      </x:c>
    </x:row>
    <x:row r="6" ht="21.600000381469727" hidden="0" customHeight="1">
      <x:c r="A6" s="15" t="str">
        <x:v>Problema</x:v>
      </x:c>
      <x:c r="B6" s="13" t="str">
        <x:v>Información académica fragmentada y detección tardía de estudiantes en riesgo.</x:v>
      </x:c>
      <x:c r="F6" s="15" t="str">
        <x:v>Puntos totales</x:v>
      </x:c>
      <x:c r="G6" s="23" t="n">
        <x:f>SUM('Product Backlog'!F5:F80)</x:f>
        <x:v>203</x:v>
      </x:c>
    </x:row>
    <x:row r="7" ht="21.600000381469727" hidden="0" customHeight="1">
      <x:c r="A7" s="15" t="str">
        <x:v>Objetivo</x:v>
      </x:c>
      <x:c r="B7" s="13" t="str">
        <x:v>Centralizar la gestión académica y generar alertas tempranas trazables para apoyar decisiones oportunas.</x:v>
      </x:c>
      <x:c r="F7" s="15" t="str">
        <x:v>Puntos Must</x:v>
      </x:c>
      <x:c r="G7" s="23" t="n">
        <x:f>SUMIF('Product Backlog'!E5:E80,"Must",'Product Backlog'!F5:F80)</x:f>
        <x:v>175</x:v>
      </x:c>
    </x:row>
    <x:row r="8" ht="15.600000381469727" hidden="0" customHeight="1">
      <x:c r="A8" s="15" t="str">
        <x:v>Metodología</x:v>
      </x:c>
      <x:c r="B8" s="13" t="str">
        <x:v>Scrum, con incrementos verificables y evidencia por sprint.</x:v>
      </x:c>
      <x:c r="F8" s="15" t="str">
        <x:v>Ítems terminados</x:v>
      </x:c>
      <x:c r="G8" s="23" t="n">
        <x:f>COUNTIF('Product Backlog'!I5:I80,"Terminado")</x:f>
        <x:v>0</x:v>
      </x:c>
    </x:row>
    <x:row r="9" ht="15.600000381469727" hidden="0" customHeight="1">
      <x:c r="A9" s="15" t="str">
        <x:v>Horizonte</x:v>
      </x:c>
      <x:c r="B9" s="13" t="str">
        <x:v>18 semanas · 10 ago–12 dic 2026</x:v>
      </x:c>
      <x:c r="F9" s="15" t="str">
        <x:v>Avance por ítems</x:v>
      </x:c>
      <x:c r="G9" s="24" t="n">
        <x:f>IF(G5=0,0,G8/G5)</x:f>
        <x:v>0</x:v>
      </x:c>
    </x:row>
    <x:row r="10" ht="15.600000381469727" hidden="0" customHeight="1">
      <x:c r="A10" s="15" t="str">
        <x:v>Equipo propuesto</x:v>
      </x:c>
      <x:c r="B10" s="13" t="str">
        <x:v>Joel López · Agustín Sorolla · Matías Martínez</x:v>
      </x:c>
      <x:c r="F10" s="15" t="str">
        <x:v>Riesgos altos</x:v>
      </x:c>
      <x:c r="G10" s="23" t="n">
        <x:f>COUNTIF(Riesgos!E5:E30,"&gt;=6")</x:f>
        <x:v>8</x:v>
      </x:c>
    </x:row>
    <x:row r="11" ht="15" hidden="0" customHeight="1">
      <x:c r="A11" s="15" t="str">
        <x:v>Sede</x:v>
      </x:c>
      <x:c r="B11" s="13" t="str">
        <x:v>Plaza Vespucio</x:v>
      </x:c>
    </x:row>
    <x:row r="12"/>
    <x:row r="13" ht="15" hidden="0" customHeight="1">
      <x:c r="A13" s="9" t="str">
        <x:v>Roles Scrum propuestos (por confirmar)</x:v>
      </x:c>
      <x:c r="B13" s="9" t="str">
        <x:v>Roles Scrum propuestos (por confirmar)</x:v>
      </x:c>
      <x:c r="C13" s="9" t="str">
        <x:v>Roles Scrum propuestos (por confirmar)</x:v>
      </x:c>
      <x:c r="D13" s="9" t="str">
        <x:v>Roles Scrum propuestos (por confirmar)</x:v>
      </x:c>
      <x:c r="F13" s="9" t="str">
        <x:v>Hitos oficiales</x:v>
      </x:c>
      <x:c r="G13" s="9" t="str">
        <x:v>Hitos oficiales</x:v>
      </x:c>
      <x:c r="H13" s="9" t="str">
        <x:v>Hitos oficiales</x:v>
      </x:c>
    </x:row>
    <x:row r="14" ht="15" hidden="0" customHeight="1">
      <x:c r="A14" s="21" t="str">
        <x:v>Persona</x:v>
      </x:c>
      <x:c r="B14" s="21" t="str">
        <x:v>Rol principal</x:v>
      </x:c>
      <x:c r="C14" s="21" t="str">
        <x:v>Responsabilidad</x:v>
      </x:c>
      <x:c r="D14" s="21" t="str">
        <x:v>Observación</x:v>
      </x:c>
      <x:c r="F14" s="21" t="str">
        <x:v>Hito</x:v>
      </x:c>
      <x:c r="G14" s="21" t="str">
        <x:v>Semana</x:v>
      </x:c>
      <x:c r="H14" s="21" t="str">
        <x:v>Ponderación</x:v>
      </x:c>
    </x:row>
    <x:row r="15" ht="21.600000381469727" hidden="0" customHeight="1">
      <x:c r="A15" s="13" t="str">
        <x:v>Joel López</x:v>
      </x:c>
      <x:c r="B15" s="13" t="str">
        <x:v>Product Owner / Arquitectura</x:v>
      </x:c>
      <x:c r="C15" s="13" t="str">
        <x:v>Priorizar valor, validar alcance y orientar arquitectura.</x:v>
      </x:c>
      <x:c r="D15" s="13" t="str">
        <x:v>Además participa como Developer.</x:v>
      </x:c>
      <x:c r="F15" s="13" t="str">
        <x:v>Definición Fase 1</x:v>
      </x:c>
      <x:c r="G15" s="13" t="str">
        <x:v>4 · 31 ago–5 sep</x:v>
      </x:c>
      <x:c r="H15" s="13" t="str">
        <x:v>20%</x:v>
      </x:c>
    </x:row>
    <x:row r="16" ht="21.600000381469727" hidden="0" customHeight="1">
      <x:c r="A16" s="13" t="str">
        <x:v>Agustín Sorolla</x:v>
      </x:c>
      <x:c r="B16" s="13" t="str">
        <x:v>Scrum Master / Frontend-UX</x:v>
      </x:c>
      <x:c r="C16" s="13" t="str">
        <x:v>Facilitar eventos, remover impedimentos y cuidar experiencia.</x:v>
      </x:c>
      <x:c r="D16" s="13" t="str">
        <x:v>Además participa como Developer.</x:v>
      </x:c>
      <x:c r="F16" s="13" t="str">
        <x:v>Avance Fase 2</x:v>
      </x:c>
      <x:c r="G16" s="13" t="str">
        <x:v>10 · 12–17 oct</x:v>
      </x:c>
      <x:c r="H16" s="13" t="str">
        <x:v>20%</x:v>
      </x:c>
    </x:row>
    <x:row r="17" ht="21.600000381469727" hidden="0" customHeight="1">
      <x:c r="A17" s="13" t="str">
        <x:v>Matías Martínez</x:v>
      </x:c>
      <x:c r="B17" s="13" t="str">
        <x:v>Datos / Calidad</x:v>
      </x:c>
      <x:c r="C17" s="13" t="str">
        <x:v>Modelo de datos, pruebas, métricas y control de calidad.</x:v>
      </x:c>
      <x:c r="D17" s="13" t="str">
        <x:v>Además participa como Developer.</x:v>
      </x:c>
      <x:c r="F17" s="13" t="str">
        <x:v>Cierre Fase 2</x:v>
      </x:c>
      <x:c r="G17" s="13" t="str">
        <x:v>15 · 16–21 nov</x:v>
      </x:c>
      <x:c r="H17" s="13" t="str">
        <x:v>30%</x:v>
      </x:c>
    </x:row>
    <x:row r="18" ht="15" hidden="0" customHeight="1">
      <x:c r="F18" s="13" t="str">
        <x:v>Presentación final Fase 3</x:v>
      </x:c>
      <x:c r="G18" s="13" t="str">
        <x:v>17–18 · 30 nov–12 dic</x:v>
      </x:c>
      <x:c r="H18" s="13" t="str">
        <x:v>30%</x:v>
      </x:c>
    </x:row>
    <x:row r="19"/>
    <x:row r="20" ht="15" hidden="0" customHeight="1">
      <x:c r="A20" s="9" t="str">
        <x:v>Decisiones pendientes antes de cerrar la línea base</x:v>
      </x:c>
      <x:c r="B20" s="9" t="str">
        <x:v>Decisiones pendientes antes de cerrar la línea base</x:v>
      </x:c>
      <x:c r="C20" s="9" t="str">
        <x:v>Decisiones pendientes antes de cerrar la línea base</x:v>
      </x:c>
      <x:c r="D20" s="9" t="str">
        <x:v>Decisiones pendientes antes de cerrar la línea base</x:v>
      </x:c>
      <x:c r="E20" s="9" t="str">
        <x:v>Decisiones pendientes antes de cerrar la línea base</x:v>
      </x:c>
      <x:c r="F20" s="9" t="str">
        <x:v>Decisiones pendientes antes de cerrar la línea base</x:v>
      </x:c>
      <x:c r="G20" s="9" t="str">
        <x:v>Decisiones pendientes antes de cerrar la línea base</x:v>
      </x:c>
      <x:c r="H20" s="9" t="str">
        <x:v>Decisiones pendientes antes de cerrar la línea base</x:v>
      </x:c>
    </x:row>
    <x:row r="21" ht="24" hidden="0" customHeight="1">
      <x:c r="A21" s="21" t="str">
        <x:v>Dato</x:v>
      </x:c>
      <x:c r="B21" s="21" t="str">
        <x:v>Estado</x:v>
      </x:c>
      <x:c r="C21" s="21" t="str">
        <x:v>Acción requerida</x:v>
      </x:c>
      <x:c r="D21" s="21" t="str">
        <x:v>Impacto</x:v>
      </x:c>
      <x:c r="E21" s="21" t="str">
        <x:v>Responsable sugerido</x:v>
      </x:c>
      <x:c r="F21" s="21" t="str">
        <x:v>Fecha límite</x:v>
      </x:c>
      <x:c r="G21" s="21" t="str">
        <x:v>Evidencia</x:v>
      </x:c>
      <x:c r="H21" s="21" t="str">
        <x:v>Nota</x:v>
      </x:c>
    </x:row>
    <x:row r="22" ht="15" hidden="0" customHeight="1">
      <x:c r="A22" s="13" t="str">
        <x:v>RUT de integrantes</x:v>
      </x:c>
      <x:c r="B22" s="13" t="str">
        <x:v>Pendiente</x:v>
      </x:c>
      <x:c r="C22" s="13" t="str">
        <x:v>Completar plantilla oficial.</x:v>
      </x:c>
      <x:c r="D22" s="13" t="str">
        <x:v>Formal</x:v>
      </x:c>
      <x:c r="E22" s="13" t="str">
        <x:v>Cada integrante</x:v>
      </x:c>
      <x:c r="F22" s="13" t="str">
        <x:v>Semana 2</x:v>
      </x:c>
      <x:c r="G22" s="13" t="str">
        <x:v>Formulario</x:v>
      </x:c>
      <x:c r="H22" s="13" t="str">
        <x:v>No inventar datos.</x:v>
      </x:c>
    </x:row>
    <x:row r="23" ht="21.600000381469727" hidden="0" customHeight="1">
      <x:c r="A23" s="13" t="str">
        <x:v>Cliente/establecimiento validador</x:v>
      </x:c>
      <x:c r="B23" s="13" t="str">
        <x:v>Pendiente</x:v>
      </x:c>
      <x:c r="C23" s="13" t="str">
        <x:v>Confirmar contraparte y acceso.</x:v>
      </x:c>
      <x:c r="D23" s="13" t="str">
        <x:v>Alto</x:v>
      </x:c>
      <x:c r="E23" s="13" t="str">
        <x:v>Product Owner</x:v>
      </x:c>
      <x:c r="F23" s="13" t="str">
        <x:v>Semana 2</x:v>
      </x:c>
      <x:c r="G23" s="13" t="str">
        <x:v>Acta/correo</x:v>
      </x:c>
      <x:c r="H23" s="13" t="str">
        <x:v>Condiciona validación y datos.</x:v>
      </x:c>
    </x:row>
    <x:row r="24" ht="21.600000381469727" hidden="0" customHeight="1">
      <x:c r="A24" s="13" t="str">
        <x:v>Stack tecnológico</x:v>
      </x:c>
      <x:c r="B24" s="13" t="str">
        <x:v>Pendiente</x:v>
      </x:c>
      <x:c r="C24" s="13" t="str">
        <x:v>Aprobar arquitectura y herramientas.</x:v>
      </x:c>
      <x:c r="D24" s="13" t="str">
        <x:v>Alto</x:v>
      </x:c>
      <x:c r="E24" s="13" t="str">
        <x:v>Equipo</x:v>
      </x:c>
      <x:c r="F24" s="13" t="str">
        <x:v>Semana 3</x:v>
      </x:c>
      <x:c r="G24" s="13" t="str">
        <x:v>ADR-001</x:v>
      </x:c>
      <x:c r="H24" s="13" t="str">
        <x:v>Propuesta: web + API + PostgreSQL + Docker.</x:v>
      </x:c>
    </x:row>
    <x:row r="25" ht="21.600000381469727" hidden="0" customHeight="1">
      <x:c r="A25" s="13" t="str">
        <x:v>Repositorio público</x:v>
      </x:c>
      <x:c r="B25" s="13" t="str">
        <x:v>Pendiente</x:v>
      </x:c>
      <x:c r="C25" s="13" t="str">
        <x:v>Crear GitHub y protección básica.</x:v>
      </x:c>
      <x:c r="D25" s="13" t="str">
        <x:v>Alto</x:v>
      </x:c>
      <x:c r="E25" s="13" t="str">
        <x:v>Scrum Master</x:v>
      </x:c>
      <x:c r="F25" s="13" t="str">
        <x:v>Semana 2</x:v>
      </x:c>
      <x:c r="G25" s="13" t="str">
        <x:v>URL</x:v>
      </x:c>
      <x:c r="H25" s="13" t="str">
        <x:v>Debe mantenerse hasta semana 18.</x:v>
      </x:c>
    </x:row>
    <x:row r="26" ht="21.600000381469727" hidden="0" customHeight="1">
      <x:c r="A26" s="13" t="str">
        <x:v>Roles Scrum</x:v>
      </x:c>
      <x:c r="B26" s="13" t="str">
        <x:v>Pendiente</x:v>
      </x:c>
      <x:c r="C26" s="13" t="str">
        <x:v>Ratificar distribución y suplencias.</x:v>
      </x:c>
      <x:c r="D26" s="13" t="str">
        <x:v>Medio</x:v>
      </x:c>
      <x:c r="E26" s="13" t="str">
        <x:v>Equipo</x:v>
      </x:c>
      <x:c r="F26" s="13" t="str">
        <x:v>Semana 2</x:v>
      </x:c>
      <x:c r="G26" s="13" t="str">
        <x:v>Acta Sprint 0</x:v>
      </x:c>
      <x:c r="H26" s="13" t="str">
        <x:v>Roles de esta hoja son propuesta.</x:v>
      </x:c>
    </x:row>
  </x:sheetData>
  <x:mergeCells>
    <x:mergeCell ref="A1:H1"/>
    <x:mergeCell ref="A2:H2"/>
    <x:mergeCell ref="A4:D4"/>
    <x:mergeCell ref="A13:D13"/>
    <x:mergeCell ref="F4:H4"/>
    <x:mergeCell ref="F13:H13"/>
    <x:mergeCell ref="A20:H20"/>
  </x:mergeCells>
  <x:conditionalFormatting sqref="B22:B26">
    <x:cfRule type="containsText" dxfId="0" priority="1" operator="containsText" text="Terminado"/>
    <x:cfRule type="containsText" dxfId="1" priority="2" operator="containsText" text="En curso"/>
    <x:cfRule type="containsText" dxfId="2" priority="3" operator="containsText" text="Bloqueado"/>
  </x:conditionalFormatting>
  <x:dataValidations count="1">
    <x:dataValidation type="list" sqref="B22:B26">
      <x:formula1>"Pendiente,En curso,Bloqueado,Terminado"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8" hidden="0" customWidth="1"/>
    <x:col min="3" max="3" width="12" hidden="0" customWidth="1"/>
    <x:col min="4" max="4" width="34" hidden="0" customWidth="1"/>
    <x:col min="5" max="5" width="26" hidden="0" customWidth="1"/>
    <x:col min="6" max="6" width="13" hidden="0" customWidth="1"/>
  </x:cols>
  <x:sheetData>
    <x:row r="1" ht="21.600000381469727" hidden="0" customHeight="1">
      <x:c r="A1" s="4" t="str">
        <x:v>Calendario académico oficial</x:v>
      </x:c>
      <x:c r="B1" s="4" t="str">
        <x:v>Calendario académico oficial</x:v>
      </x:c>
      <x:c r="C1" s="4" t="str">
        <x:v>Calendario académico oficial</x:v>
      </x:c>
      <x:c r="D1" s="4" t="str">
        <x:v>Calendario académico oficial</x:v>
      </x:c>
      <x:c r="E1" s="4" t="str">
        <x:v>Calendario académico oficial</x:v>
      </x:c>
      <x:c r="F1" s="4" t="str">
        <x:v>Calendario académico oficial</x:v>
      </x:c>
      <x:c r="G1" s="4" t="str">
        <x:v>Calendario académico oficial</x:v>
      </x:c>
      <x:c r="H1" s="4" t="str">
        <x:v>Calendario académico oficial</x:v>
      </x:c>
    </x:row>
    <x:row r="2" ht="15" hidden="0" customHeight="1">
      <x:c r="A2" s="7" t="str">
        <x:v>Fechas transcritas del cronograma Capstone PTY4614 · segundo semestre 2026</x:v>
      </x:c>
      <x:c r="B2" s="7" t="str">
        <x:v>Fechas transcritas del cronograma Capstone PTY4614 · segundo semestre 2026</x:v>
      </x:c>
      <x:c r="C2" s="7" t="str">
        <x:v>Fechas transcritas del cronograma Capstone PTY4614 · segundo semestre 2026</x:v>
      </x:c>
      <x:c r="D2" s="7" t="str">
        <x:v>Fechas transcritas del cronograma Capstone PTY4614 · segundo semestre 2026</x:v>
      </x:c>
      <x:c r="E2" s="7" t="str">
        <x:v>Fechas transcritas del cronograma Capstone PTY4614 · segundo semestre 2026</x:v>
      </x:c>
      <x:c r="F2" s="7" t="str">
        <x:v>Fechas transcritas del cronograma Capstone PTY4614 · segundo semestre 2026</x:v>
      </x:c>
      <x:c r="G2" s="7" t="str">
        <x:v>Fechas transcritas del cronograma Capstone PTY4614 · segundo semestre 2026</x:v>
      </x:c>
      <x:c r="H2" s="7" t="str">
        <x:v>Fechas transcritas del cronograma Capstone PTY4614 · segundo semestre 2026</x:v>
      </x:c>
    </x:row>
    <x:row r="3"/>
    <x:row r="4" ht="15" hidden="0" customHeight="1">
      <x:c r="A4" s="21" t="str">
        <x:v>Semana</x:v>
      </x:c>
      <x:c r="B4" s="21" t="str">
        <x:v>Fechas</x:v>
      </x:c>
      <x:c r="C4" s="21" t="str">
        <x:v>Fase</x:v>
      </x:c>
      <x:c r="D4" s="21" t="str">
        <x:v>Trabajo principal</x:v>
      </x:c>
      <x:c r="E4" s="21" t="str">
        <x:v>Evaluación/actividad</x:v>
      </x:c>
      <x:c r="F4" s="21" t="str">
        <x:v>Ponderación</x:v>
      </x:c>
    </x:row>
    <x:row r="5" ht="15" hidden="0" customHeight="1">
      <x:c r="A5" s="25" t="n">
        <x:v>1</x:v>
      </x:c>
      <x:c r="B5" s="13" t="str">
        <x:v>10–15 ago</x:v>
      </x:c>
      <x:c r="C5" s="13" t="str">
        <x:v>Fase 1</x:v>
      </x:c>
      <x:c r="D5" s="13" t="str">
        <x:v>Inicio y presentación del proyecto</x:v>
      </x:c>
      <x:c r="E5" s="13" t="str">
        <x:v>Diagnóstico / organización</x:v>
      </x:c>
      <x:c r="F5" s="25" t="str"/>
    </x:row>
    <x:row r="6" ht="15" hidden="0" customHeight="1">
      <x:c r="A6" s="25" t="n">
        <x:v>2</x:v>
      </x:c>
      <x:c r="B6" s="13" t="str">
        <x:v>17–22 ago</x:v>
      </x:c>
      <x:c r="C6" s="13" t="str">
        <x:v>Fase 1</x:v>
      </x:c>
      <x:c r="D6" s="13" t="str">
        <x:v>Definición del proyecto</x:v>
      </x:c>
      <x:c r="E6" s="13" t="str">
        <x:v>Formativa / retroalimentación</x:v>
      </x:c>
      <x:c r="F6" s="25" t="str"/>
    </x:row>
    <x:row r="7" ht="15" hidden="0" customHeight="1">
      <x:c r="A7" s="25" t="n">
        <x:v>3</x:v>
      </x:c>
      <x:c r="B7" s="13" t="str">
        <x:v>24–29 ago</x:v>
      </x:c>
      <x:c r="C7" s="13" t="str">
        <x:v>Fase 1</x:v>
      </x:c>
      <x:c r="D7" s="13" t="str">
        <x:v>Ajustes y preparación de presentación</x:v>
      </x:c>
      <x:c r="E7" s="13" t="str">
        <x:v>Autoevaluación Fase 1</x:v>
      </x:c>
      <x:c r="F7" s="25" t="str"/>
    </x:row>
    <x:row r="8" ht="15" hidden="0" customHeight="1">
      <x:c r="A8" s="25" t="n">
        <x:v>4</x:v>
      </x:c>
      <x:c r="B8" s="13" t="str">
        <x:v>31 ago–5 sep</x:v>
      </x:c>
      <x:c r="C8" s="13" t="str">
        <x:v>Fase 1</x:v>
      </x:c>
      <x:c r="D8" s="13" t="str">
        <x:v>Entrega y presentación Fase 1</x:v>
      </x:c>
      <x:c r="E8" s="13" t="str">
        <x:v>Sumativa</x:v>
      </x:c>
      <x:c r="F8" s="25" t="str">
        <x:v>20%</x:v>
      </x:c>
    </x:row>
    <x:row r="9" ht="15" hidden="0" customHeight="1">
      <x:c r="A9" s="25" t="n">
        <x:v>5</x:v>
      </x:c>
      <x:c r="B9" s="13" t="str">
        <x:v>7–12 sep</x:v>
      </x:c>
      <x:c r="C9" s="13" t="str">
        <x:v>Fase 2</x:v>
      </x:c>
      <x:c r="D9" s="13" t="str">
        <x:v>Inicio desarrollo / Sprint 2</x:v>
      </x:c>
      <x:c r="E9" s="13" t="str">
        <x:v>Seguimiento</x:v>
      </x:c>
      <x:c r="F9" s="25" t="str"/>
    </x:row>
    <x:row r="10" ht="15" hidden="0" customHeight="1">
      <x:c r="A10" s="25" t="n">
        <x:v>6</x:v>
      </x:c>
      <x:c r="B10" s="13" t="str">
        <x:v>14–19 sep</x:v>
      </x:c>
      <x:c r="C10" s="13" t="str">
        <x:v>Fase 2</x:v>
      </x:c>
      <x:c r="D10" s="13" t="str">
        <x:v>Desarrollo incremental</x:v>
      </x:c>
      <x:c r="E10" s="13" t="str">
        <x:v>Seguimiento</x:v>
      </x:c>
      <x:c r="F10" s="25" t="str"/>
    </x:row>
    <x:row r="11" ht="15" hidden="0" customHeight="1">
      <x:c r="A11" s="25" t="n">
        <x:v>7</x:v>
      </x:c>
      <x:c r="B11" s="13" t="str">
        <x:v>21–26 sep</x:v>
      </x:c>
      <x:c r="C11" s="13" t="str">
        <x:v>Fase 2</x:v>
      </x:c>
      <x:c r="D11" s="13" t="str">
        <x:v>Desarrollo incremental</x:v>
      </x:c>
      <x:c r="E11" s="13" t="str">
        <x:v>Seguimiento</x:v>
      </x:c>
      <x:c r="F11" s="25" t="str"/>
    </x:row>
    <x:row r="12" ht="15" hidden="0" customHeight="1">
      <x:c r="A12" s="25" t="n">
        <x:v>8</x:v>
      </x:c>
      <x:c r="B12" s="13" t="str">
        <x:v>28 sep–3 oct</x:v>
      </x:c>
      <x:c r="C12" s="13" t="str">
        <x:v>Fase 2</x:v>
      </x:c>
      <x:c r="D12" s="13" t="str">
        <x:v>Desarrollo incremental</x:v>
      </x:c>
      <x:c r="E12" s="13" t="str">
        <x:v>Seguimiento</x:v>
      </x:c>
      <x:c r="F12" s="25" t="str"/>
    </x:row>
    <x:row r="13" ht="15" hidden="0" customHeight="1">
      <x:c r="A13" s="25" t="n">
        <x:v>9</x:v>
      </x:c>
      <x:c r="B13" s="13" t="str">
        <x:v>5–10 oct</x:v>
      </x:c>
      <x:c r="C13" s="13" t="str">
        <x:v>Fase 2</x:v>
      </x:c>
      <x:c r="D13" s="13" t="str">
        <x:v>Integración y evidencias</x:v>
      </x:c>
      <x:c r="E13" s="13" t="str">
        <x:v>Preparación avance</x:v>
      </x:c>
      <x:c r="F13" s="25" t="str"/>
    </x:row>
    <x:row r="14" ht="15" hidden="0" customHeight="1">
      <x:c r="A14" s="25" t="n">
        <x:v>10</x:v>
      </x:c>
      <x:c r="B14" s="13" t="str">
        <x:v>12–17 oct</x:v>
      </x:c>
      <x:c r="C14" s="13" t="str">
        <x:v>Fase 2</x:v>
      </x:c>
      <x:c r="D14" s="13" t="str">
        <x:v>Entrega avance</x:v>
      </x:c>
      <x:c r="E14" s="13" t="str">
        <x:v>Sumativa</x:v>
      </x:c>
      <x:c r="F14" s="25" t="str">
        <x:v>20%</x:v>
      </x:c>
    </x:row>
    <x:row r="15" ht="15" hidden="0" customHeight="1">
      <x:c r="A15" s="25" t="n">
        <x:v>11</x:v>
      </x:c>
      <x:c r="B15" s="13" t="str">
        <x:v>19–24 oct</x:v>
      </x:c>
      <x:c r="C15" s="13" t="str">
        <x:v>Fase 2</x:v>
      </x:c>
      <x:c r="D15" s="13" t="str">
        <x:v>Continuidad de desarrollo</x:v>
      </x:c>
      <x:c r="E15" s="13" t="str">
        <x:v>Seguimiento</x:v>
      </x:c>
      <x:c r="F15" s="25" t="str"/>
    </x:row>
    <x:row r="16" ht="15" hidden="0" customHeight="1">
      <x:c r="A16" s="25" t="n">
        <x:v>12</x:v>
      </x:c>
      <x:c r="B16" s="13" t="str">
        <x:v>26–31 oct</x:v>
      </x:c>
      <x:c r="C16" s="13" t="str">
        <x:v>Fase 2</x:v>
      </x:c>
      <x:c r="D16" s="13" t="str">
        <x:v>Desarrollo incremental</x:v>
      </x:c>
      <x:c r="E16" s="13" t="str">
        <x:v>Seguimiento</x:v>
      </x:c>
      <x:c r="F16" s="25" t="str"/>
    </x:row>
    <x:row r="17" ht="15" hidden="0" customHeight="1">
      <x:c r="A17" s="25" t="n">
        <x:v>13</x:v>
      </x:c>
      <x:c r="B17" s="13" t="str">
        <x:v>2–7 nov</x:v>
      </x:c>
      <x:c r="C17" s="13" t="str">
        <x:v>Fase 2</x:v>
      </x:c>
      <x:c r="D17" s="13" t="str">
        <x:v>Calidad y arquitectura</x:v>
      </x:c>
      <x:c r="E17" s="13" t="str">
        <x:v>Seguimiento</x:v>
      </x:c>
      <x:c r="F17" s="25" t="str"/>
    </x:row>
    <x:row r="18" ht="15" hidden="0" customHeight="1">
      <x:c r="A18" s="25" t="n">
        <x:v>14</x:v>
      </x:c>
      <x:c r="B18" s="13" t="str">
        <x:v>9–14 nov</x:v>
      </x:c>
      <x:c r="C18" s="13" t="str">
        <x:v>Fase 2</x:v>
      </x:c>
      <x:c r="D18" s="13" t="str">
        <x:v>Integración final</x:v>
      </x:c>
      <x:c r="E18" s="13" t="str">
        <x:v>Preparación cierre</x:v>
      </x:c>
      <x:c r="F18" s="25" t="str"/>
    </x:row>
    <x:row r="19" ht="15" hidden="0" customHeight="1">
      <x:c r="A19" s="25" t="n">
        <x:v>15</x:v>
      </x:c>
      <x:c r="B19" s="13" t="str">
        <x:v>16–21 nov</x:v>
      </x:c>
      <x:c r="C19" s="13" t="str">
        <x:v>Fase 2</x:v>
      </x:c>
      <x:c r="D19" s="13" t="str">
        <x:v>Informe y presentación final Fase 2</x:v>
      </x:c>
      <x:c r="E19" s="13" t="str">
        <x:v>Sumativa</x:v>
      </x:c>
      <x:c r="F19" s="25" t="str">
        <x:v>30%</x:v>
      </x:c>
    </x:row>
    <x:row r="20" ht="15" hidden="0" customHeight="1">
      <x:c r="A20" s="25" t="n">
        <x:v>16</x:v>
      </x:c>
      <x:c r="B20" s="13" t="str">
        <x:v>23–28 nov</x:v>
      </x:c>
      <x:c r="C20" s="13" t="str">
        <x:v>Fase 3</x:v>
      </x:c>
      <x:c r="D20" s="13" t="str">
        <x:v>Consolidación del producto</x:v>
      </x:c>
      <x:c r="E20" s="13" t="str">
        <x:v>Preparación comisión</x:v>
      </x:c>
      <x:c r="F20" s="25" t="str"/>
    </x:row>
    <x:row r="21" ht="15" hidden="0" customHeight="1">
      <x:c r="A21" s="25" t="n">
        <x:v>17</x:v>
      </x:c>
      <x:c r="B21" s="13" t="str">
        <x:v>30 nov–5 dic</x:v>
      </x:c>
      <x:c r="C21" s="13" t="str">
        <x:v>Fase 3</x:v>
      </x:c>
      <x:c r="D21" s="13" t="str">
        <x:v>Presentaciones finales</x:v>
      </x:c>
      <x:c r="E21" s="13" t="str">
        <x:v>Comisión</x:v>
      </x:c>
      <x:c r="F21" s="25" t="str"/>
    </x:row>
    <x:row r="22" ht="15" hidden="0" customHeight="1">
      <x:c r="A22" s="25" t="n">
        <x:v>18</x:v>
      </x:c>
      <x:c r="B22" s="13" t="str">
        <x:v>7–12 dic</x:v>
      </x:c>
      <x:c r="C22" s="13" t="str">
        <x:v>Fase 3</x:v>
      </x:c>
      <x:c r="D22" s="13" t="str">
        <x:v>Presentaciones / cierre</x:v>
      </x:c>
      <x:c r="E22" s="13" t="str">
        <x:v>Sumativa</x:v>
      </x:c>
      <x:c r="F22" s="25" t="str">
        <x:v>30%</x:v>
      </x:c>
    </x:row>
  </x:sheetData>
  <x:mergeCells>
    <x:mergeCell ref="A1:H1"/>
    <x:mergeCell ref="A2:H2"/>
  </x:mergeCells>
  <x:conditionalFormatting sqref="F5:F22">
    <x:cfRule type="containsText" dxfId="3" priority="1" operator="containsText" text="%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7" hidden="0" customWidth="1"/>
    <x:col min="5" max="5" width="42" hidden="0" customWidth="1"/>
    <x:col min="6" max="6" width="43" hidden="0" customWidth="1"/>
    <x:col min="7" max="7" width="34" hidden="0" customWidth="1"/>
    <x:col min="8" max="8" width="17" hidden="0" customWidth="1"/>
    <x:col min="9" max="9" width="14" hidden="0" customWidth="1"/>
    <x:col min="10" max="10" width="22" hidden="0" customWidth="1"/>
  </x:cols>
  <x:sheetData>
    <x:row r="1" ht="21.600000381469727" hidden="0" customHeight="1">
      <x:c r="A1" s="4" t="str">
        <x:v>Roadmap de sprints</x:v>
      </x:c>
      <x:c r="B1" s="4" t="str">
        <x:v>Roadmap de sprints</x:v>
      </x:c>
      <x:c r="C1" s="4" t="str">
        <x:v>Roadmap de sprints</x:v>
      </x:c>
      <x:c r="D1" s="4" t="str">
        <x:v>Roadmap de sprints</x:v>
      </x:c>
      <x:c r="E1" s="4" t="str">
        <x:v>Roadmap de sprints</x:v>
      </x:c>
      <x:c r="F1" s="4" t="str">
        <x:v>Roadmap de sprints</x:v>
      </x:c>
      <x:c r="G1" s="4" t="str">
        <x:v>Roadmap de sprints</x:v>
      </x:c>
      <x:c r="H1" s="4" t="str">
        <x:v>Roadmap de sprints</x:v>
      </x:c>
      <x:c r="I1" s="4" t="str">
        <x:v>Roadmap de sprints</x:v>
      </x:c>
      <x:c r="J1" s="4" t="str">
        <x:v>Roadmap de sprints</x:v>
      </x:c>
    </x:row>
    <x:row r="2" ht="15" hidden="0" customHeight="1">
      <x:c r="A2" s="7" t="str">
        <x:v>Cadencia propuesta de 2 semanas; los hitos Duoc tienen prioridad sobre la cadencia Scrum</x:v>
      </x:c>
      <x:c r="B2" s="7" t="str">
        <x:v>Cadencia propuesta de 2 semanas; los hitos Duoc tienen prioridad sobre la cadencia Scrum</x:v>
      </x:c>
      <x:c r="C2" s="7" t="str">
        <x:v>Cadencia propuesta de 2 semanas; los hitos Duoc tienen prioridad sobre la cadencia Scrum</x:v>
      </x:c>
      <x:c r="D2" s="7" t="str">
        <x:v>Cadencia propuesta de 2 semanas; los hitos Duoc tienen prioridad sobre la cadencia Scrum</x:v>
      </x:c>
      <x:c r="E2" s="7" t="str">
        <x:v>Cadencia propuesta de 2 semanas; los hitos Duoc tienen prioridad sobre la cadencia Scrum</x:v>
      </x:c>
      <x:c r="F2" s="7" t="str">
        <x:v>Cadencia propuesta de 2 semanas; los hitos Duoc tienen prioridad sobre la cadencia Scrum</x:v>
      </x:c>
      <x:c r="G2" s="7" t="str">
        <x:v>Cadencia propuesta de 2 semanas; los hitos Duoc tienen prioridad sobre la cadencia Scrum</x:v>
      </x:c>
      <x:c r="H2" s="7" t="str">
        <x:v>Cadencia propuesta de 2 semanas; los hitos Duoc tienen prioridad sobre la cadencia Scrum</x:v>
      </x:c>
      <x:c r="I2" s="7" t="str">
        <x:v>Cadencia propuesta de 2 semanas; los hitos Duoc tienen prioridad sobre la cadencia Scrum</x:v>
      </x:c>
      <x:c r="J2" s="7" t="str">
        <x:v>Cadencia propuesta de 2 semanas; los hitos Duoc tienen prioridad sobre la cadencia Scrum</x:v>
      </x:c>
    </x:row>
    <x:row r="3"/>
    <x:row r="4" ht="15" hidden="0" customHeight="1">
      <x:c r="A4" s="21" t="str">
        <x:v>Sprint</x:v>
      </x:c>
      <x:c r="B4" s="21" t="str">
        <x:v>Semana inicio</x:v>
      </x:c>
      <x:c r="C4" s="21" t="str">
        <x:v>Semana fin</x:v>
      </x:c>
      <x:c r="D4" s="21" t="str">
        <x:v>Fechas</x:v>
      </x:c>
      <x:c r="E4" s="21" t="str">
        <x:v>Objetivo</x:v>
      </x:c>
      <x:c r="F4" s="21" t="str">
        <x:v>Entregables / incremento</x:v>
      </x:c>
      <x:c r="G4" s="21" t="str">
        <x:v>Criterio de salida</x:v>
      </x:c>
      <x:c r="H4" s="21" t="str">
        <x:v>Responsable</x:v>
      </x:c>
      <x:c r="I4" s="21" t="str">
        <x:v>Estado</x:v>
      </x:c>
      <x:c r="J4" s="21" t="str">
        <x:v>Hito</x:v>
      </x:c>
    </x:row>
    <x:row r="5" ht="15" hidden="0" customHeight="1">
      <x:c r="A5" s="26" t="str">
        <x:v>Sprint 0 · Inception</x:v>
      </x:c>
      <x:c r="B5" s="13" t="n">
        <x:v>1</x:v>
      </x:c>
      <x:c r="C5" s="13" t="n">
        <x:v>2</x:v>
      </x:c>
      <x:c r="D5" s="13" t="str">
        <x:v>10–22 ago</x:v>
      </x:c>
      <x:c r="E5" s="13" t="str">
        <x:v>Alinear problema, usuarios, visión, alcance y forma de trabajo.</x:v>
      </x:c>
      <x:c r="F5" s="13" t="str">
        <x:v>Product Vision; actores; Product Backlog v1; DoD; repo; riesgos</x:v>
      </x:c>
      <x:c r="G5" s="13" t="str">
        <x:v>Validación inicial y repositorio accesible</x:v>
      </x:c>
      <x:c r="H5" s="13" t="str">
        <x:v>Equipo</x:v>
      </x:c>
      <x:c r="I5" s="13" t="str">
        <x:v>Pendiente</x:v>
      </x:c>
      <x:c r="J5" s="13" t="str">
        <x:v>Hito de preparación</x:v>
      </x:c>
    </x:row>
    <x:row r="6" ht="15" hidden="0" customHeight="1">
      <x:c r="A6" s="26" t="str">
        <x:v>Sprint 1</x:v>
      </x:c>
      <x:c r="B6" s="13" t="n">
        <x:v>3</x:v>
      </x:c>
      <x:c r="C6" s="13" t="n">
        <x:v>4</x:v>
      </x:c>
      <x:c r="D6" s="13" t="str">
        <x:v>24 ago–5 sep</x:v>
      </x:c>
      <x:c r="E6" s="13" t="str">
        <x:v>Cerrar definición formal y diseño base.</x:v>
      </x:c>
      <x:c r="F6" s="13" t="str">
        <x:v>Documento Fase 1; arquitectura; ER; UML; prototipo; presentación</x:v>
      </x:c>
      <x:c r="G6" s="13" t="str">
        <x:v>Entrega Fase 1 aceptada</x:v>
      </x:c>
      <x:c r="H6" s="13" t="str">
        <x:v>Equipo</x:v>
      </x:c>
      <x:c r="I6" s="13" t="str">
        <x:v>Pendiente</x:v>
      </x:c>
      <x:c r="J6" s="13" t="str">
        <x:v>Fase 1 · 20%</x:v>
      </x:c>
    </x:row>
    <x:row r="7" ht="15" hidden="0" customHeight="1">
      <x:c r="A7" s="26" t="str">
        <x:v>Sprint 2</x:v>
      </x:c>
      <x:c r="B7" s="13" t="n">
        <x:v>5</x:v>
      </x:c>
      <x:c r="C7" s="13" t="n">
        <x:v>6</x:v>
      </x:c>
      <x:c r="D7" s="13" t="str">
        <x:v>7–19 sep</x:v>
      </x:c>
      <x:c r="E7" s="13" t="str">
        <x:v>Habilitar plataforma, seguridad base y catálogos.</x:v>
      </x:c>
      <x:c r="F7" s="13" t="str">
        <x:v>CI; Docker; autenticación; RBAC; estructura académica</x:v>
      </x:c>
      <x:c r="G7" s="13" t="str">
        <x:v>Demo login/roles/catálogos</x:v>
      </x:c>
      <x:c r="H7" s="13" t="str">
        <x:v>Equipo</x:v>
      </x:c>
      <x:c r="I7" s="13" t="str">
        <x:v>Pendiente</x:v>
      </x:c>
      <x:c r="J7" s="13" t="str"/>
    </x:row>
    <x:row r="8" ht="15" hidden="0" customHeight="1">
      <x:c r="A8" s="26" t="str">
        <x:v>Sprint 3</x:v>
      </x:c>
      <x:c r="B8" s="13" t="n">
        <x:v>7</x:v>
      </x:c>
      <x:c r="C8" s="13" t="n">
        <x:v>8</x:v>
      </x:c>
      <x:c r="D8" s="13" t="str">
        <x:v>21 sep–3 oct</x:v>
      </x:c>
      <x:c r="E8" s="13" t="str">
        <x:v>Gestionar estudiantes, matrículas y notas iniciales.</x:v>
      </x:c>
      <x:c r="F8" s="13" t="str">
        <x:v>CRUD estudiantes; matrículas; calificaciones; pruebas</x:v>
      </x:c>
      <x:c r="G8" s="13" t="str">
        <x:v>Flujo académico principal operativo</x:v>
      </x:c>
      <x:c r="H8" s="13" t="str">
        <x:v>Equipo</x:v>
      </x:c>
      <x:c r="I8" s="13" t="str">
        <x:v>Pendiente</x:v>
      </x:c>
      <x:c r="J8" s="13" t="str"/>
    </x:row>
    <x:row r="9" ht="15" hidden="0" customHeight="1">
      <x:c r="A9" s="26" t="str">
        <x:v>Sprint 4</x:v>
      </x:c>
      <x:c r="B9" s="13" t="n">
        <x:v>9</x:v>
      </x:c>
      <x:c r="C9" s="13" t="n">
        <x:v>10</x:v>
      </x:c>
      <x:c r="D9" s="13" t="str">
        <x:v>5–17 oct</x:v>
      </x:c>
      <x:c r="E9" s="13" t="str">
        <x:v>Incorporar asistencia, alertas v1 y corte evaluable.</x:v>
      </x:c>
      <x:c r="F9" s="13" t="str">
        <x:v>Asistencia; reglas de alerta; tablero inicial; informe avance</x:v>
      </x:c>
      <x:c r="G9" s="13" t="str">
        <x:v>Avance demostrable y trazable</x:v>
      </x:c>
      <x:c r="H9" s="13" t="str">
        <x:v>Equipo</x:v>
      </x:c>
      <x:c r="I9" s="13" t="str">
        <x:v>Pendiente</x:v>
      </x:c>
      <x:c r="J9" s="13" t="str">
        <x:v>Fase 2 avance · 20%</x:v>
      </x:c>
    </x:row>
    <x:row r="10" ht="15" hidden="0" customHeight="1">
      <x:c r="A10" s="26" t="str">
        <x:v>Sprint 5</x:v>
      </x:c>
      <x:c r="B10" s="13" t="n">
        <x:v>11</x:v>
      </x:c>
      <x:c r="C10" s="13" t="n">
        <x:v>12</x:v>
      </x:c>
      <x:c r="D10" s="13" t="str">
        <x:v>19–31 oct</x:v>
      </x:c>
      <x:c r="E10" s="13" t="str">
        <x:v>Gestionar seguimiento e historial del estudiante.</x:v>
      </x:c>
      <x:c r="F10" s="13" t="str">
        <x:v>Casos; acciones; ficha 360; notificaciones</x:v>
      </x:c>
      <x:c r="G10" s="13" t="str">
        <x:v>Alerta con seguimiento completo</x:v>
      </x:c>
      <x:c r="H10" s="13" t="str">
        <x:v>Equipo</x:v>
      </x:c>
      <x:c r="I10" s="13" t="str">
        <x:v>Pendiente</x:v>
      </x:c>
      <x:c r="J10" s="13" t="str"/>
    </x:row>
    <x:row r="11" ht="15" hidden="0" customHeight="1">
      <x:c r="A11" s="26" t="str">
        <x:v>Sprint 6</x:v>
      </x:c>
      <x:c r="B11" s="13" t="n">
        <x:v>13</x:v>
      </x:c>
      <x:c r="C11" s="13" t="n">
        <x:v>14</x:v>
      </x:c>
      <x:c r="D11" s="13" t="str">
        <x:v>2–14 nov</x:v>
      </x:c>
      <x:c r="E11" s="13" t="str">
        <x:v>Consolidar reportes, auditoría y requisitos no funcionales.</x:v>
      </x:c>
      <x:c r="F11" s="13" t="str">
        <x:v>Dashboard; exportación; auditoría; pruebas seguridad/rendimiento</x:v>
      </x:c>
      <x:c r="G11" s="13" t="str">
        <x:v>Incremento candidato a entrega</x:v>
      </x:c>
      <x:c r="H11" s="13" t="str">
        <x:v>Equipo</x:v>
      </x:c>
      <x:c r="I11" s="13" t="str">
        <x:v>Pendiente</x:v>
      </x:c>
      <x:c r="J11" s="13" t="str"/>
    </x:row>
    <x:row r="12" ht="21.600000381469727" hidden="0" customHeight="1">
      <x:c r="A12" s="26" t="str">
        <x:v>Sprint 7</x:v>
      </x:c>
      <x:c r="B12" s="13" t="n">
        <x:v>15</x:v>
      </x:c>
      <x:c r="C12" s="13" t="n">
        <x:v>16</x:v>
      </x:c>
      <x:c r="D12" s="13" t="str">
        <x:v>16–28 nov</x:v>
      </x:c>
      <x:c r="E12" s="13" t="str">
        <x:v>Endurecer, documentar y desplegar.</x:v>
      </x:c>
      <x:c r="F12" s="13" t="str">
        <x:v>QA; correcciones; manual técnico/usuario; Docker; informe/presentación</x:v>
      </x:c>
      <x:c r="G12" s="13" t="str">
        <x:v>Release candidate reproducible</x:v>
      </x:c>
      <x:c r="H12" s="13" t="str">
        <x:v>Equipo</x:v>
      </x:c>
      <x:c r="I12" s="13" t="str">
        <x:v>Pendiente</x:v>
      </x:c>
      <x:c r="J12" s="13" t="str">
        <x:v>Fase 2 final · 30%</x:v>
      </x:c>
    </x:row>
    <x:row r="13" ht="15" hidden="0" customHeight="1">
      <x:c r="A13" s="26" t="str">
        <x:v>Release final</x:v>
      </x:c>
      <x:c r="B13" s="13" t="n">
        <x:v>17</x:v>
      </x:c>
      <x:c r="C13" s="13" t="n">
        <x:v>18</x:v>
      </x:c>
      <x:c r="D13" s="13" t="str">
        <x:v>30 nov–12 dic</x:v>
      </x:c>
      <x:c r="E13" s="13" t="str">
        <x:v>Presentar, corregir hallazgos y congelar evidencias.</x:v>
      </x:c>
      <x:c r="F13" s="13" t="str">
        <x:v>Demo final; defensa; acta; retrospectiva proyecto; release</x:v>
      </x:c>
      <x:c r="G13" s="13" t="str">
        <x:v>Cierre ante comisión</x:v>
      </x:c>
      <x:c r="H13" s="13" t="str">
        <x:v>Equipo</x:v>
      </x:c>
      <x:c r="I13" s="13" t="str">
        <x:v>Pendiente</x:v>
      </x:c>
      <x:c r="J13" s="13" t="str">
        <x:v>Fase 3 · 30%</x:v>
      </x:c>
    </x:row>
  </x:sheetData>
  <x:mergeCells>
    <x:mergeCell ref="A1:J1"/>
    <x:mergeCell ref="A2:J2"/>
  </x:mergeCells>
  <x:conditionalFormatting sqref="I5:I13">
    <x:cfRule type="containsText" dxfId="4" priority="1" operator="containsText" text="Terminado"/>
    <x:cfRule type="containsText" dxfId="5" priority="2" operator="containsText" text="En curso"/>
    <x:cfRule type="containsText" dxfId="6" priority="3" operator="containsText" text="Bloqueado"/>
  </x:conditionalFormatting>
  <x:dataValidations count="1">
    <x:dataValidation type="list" sqref="I5:I13">
      <x:formula1>"Pendiente,En curso,Bloqueado,Terminado"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47" hidden="0" customWidth="1"/>
    <x:col min="4" max="4" width="42" hidden="0" customWidth="1"/>
    <x:col min="5" max="5" width="11" hidden="0" customWidth="1"/>
    <x:col min="6" max="6" width="9" hidden="0" customWidth="1"/>
    <x:col min="7" max="7" width="16" hidden="0" customWidth="1"/>
    <x:col min="8" max="8" width="18" hidden="0" customWidth="1"/>
    <x:col min="9" max="9" width="13" hidden="0" customWidth="1"/>
    <x:col min="10" max="10" width="18" hidden="0" customWidth="1"/>
    <x:col min="11" max="11" width="24" hidden="0" customWidth="1"/>
    <x:col min="12" max="12" width="15" hidden="0" customWidth="1"/>
  </x:cols>
  <x:sheetData>
    <x:row r="1" ht="21.600000381469727" hidden="0" customHeight="1">
      <x:c r="A1" s="4" t="str">
        <x:v>Product Backlog inicial</x:v>
      </x:c>
      <x:c r="B1" s="4" t="str">
        <x:v>Product Backlog inicial</x:v>
      </x:c>
      <x:c r="C1" s="4" t="str">
        <x:v>Product Backlog inicial</x:v>
      </x:c>
      <x:c r="D1" s="4" t="str">
        <x:v>Product Backlog inicial</x:v>
      </x:c>
      <x:c r="E1" s="4" t="str">
        <x:v>Product Backlog inicial</x:v>
      </x:c>
      <x:c r="F1" s="4" t="str">
        <x:v>Product Backlog inicial</x:v>
      </x:c>
      <x:c r="G1" s="4" t="str">
        <x:v>Product Backlog inicial</x:v>
      </x:c>
      <x:c r="H1" s="4" t="str">
        <x:v>Product Backlog inicial</x:v>
      </x:c>
      <x:c r="I1" s="4" t="str">
        <x:v>Product Backlog inicial</x:v>
      </x:c>
      <x:c r="J1" s="4" t="str">
        <x:v>Product Backlog inicial</x:v>
      </x:c>
      <x:c r="K1" s="4" t="str">
        <x:v>Product Backlog inicial</x:v>
      </x:c>
      <x:c r="L1" s="4" t="str">
        <x:v>Product Backlog inicial</x:v>
      </x:c>
    </x:row>
    <x:row r="2" ht="15" hidden="0" customHeight="1">
      <x:c r="A2" s="7" t="str">
        <x:v>Priorización MoSCoW y estimación preliminar en puntos; debe refinarse con la contraparte</x:v>
      </x:c>
      <x:c r="B2" s="7" t="str">
        <x:v>Priorización MoSCoW y estimación preliminar en puntos; debe refinarse con la contraparte</x:v>
      </x:c>
      <x:c r="C2" s="7" t="str">
        <x:v>Priorización MoSCoW y estimación preliminar en puntos; debe refinarse con la contraparte</x:v>
      </x:c>
      <x:c r="D2" s="7" t="str">
        <x:v>Priorización MoSCoW y estimación preliminar en puntos; debe refinarse con la contraparte</x:v>
      </x:c>
      <x:c r="E2" s="7" t="str">
        <x:v>Priorización MoSCoW y estimación preliminar en puntos; debe refinarse con la contraparte</x:v>
      </x:c>
      <x:c r="F2" s="7" t="str">
        <x:v>Priorización MoSCoW y estimación preliminar en puntos; debe refinarse con la contraparte</x:v>
      </x:c>
      <x:c r="G2" s="7" t="str">
        <x:v>Priorización MoSCoW y estimación preliminar en puntos; debe refinarse con la contraparte</x:v>
      </x:c>
      <x:c r="H2" s="7" t="str">
        <x:v>Priorización MoSCoW y estimación preliminar en puntos; debe refinarse con la contraparte</x:v>
      </x:c>
      <x:c r="I2" s="7" t="str">
        <x:v>Priorización MoSCoW y estimación preliminar en puntos; debe refinarse con la contraparte</x:v>
      </x:c>
      <x:c r="J2" s="7" t="str">
        <x:v>Priorización MoSCoW y estimación preliminar en puntos; debe refinarse con la contraparte</x:v>
      </x:c>
      <x:c r="K2" s="7" t="str">
        <x:v>Priorización MoSCoW y estimación preliminar en puntos; debe refinarse con la contraparte</x:v>
      </x:c>
      <x:c r="L2" s="7" t="str">
        <x:v>Priorización MoSCoW y estimación preliminar en puntos; debe refinarse con la contraparte</x:v>
      </x:c>
    </x:row>
    <x:row r="3"/>
    <x:row r="4" ht="15" hidden="0" customHeight="1">
      <x:c r="A4" s="21" t="str">
        <x:v>ID</x:v>
      </x:c>
      <x:c r="B4" s="21" t="str">
        <x:v>Épica</x:v>
      </x:c>
      <x:c r="C4" s="21" t="str">
        <x:v>Historia / ítem</x:v>
      </x:c>
      <x:c r="D4" s="21" t="str">
        <x:v>Criterios de aceptación (resumen)</x:v>
      </x:c>
      <x:c r="E4" s="21" t="str">
        <x:v>Prioridad</x:v>
      </x:c>
      <x:c r="F4" s="21" t="str">
        <x:v>Puntos</x:v>
      </x:c>
      <x:c r="G4" s="21" t="str">
        <x:v>Sprint</x:v>
      </x:c>
      <x:c r="H4" s="21" t="str">
        <x:v>Owner</x:v>
      </x:c>
      <x:c r="I4" s="21" t="str">
        <x:v>Estado</x:v>
      </x:c>
      <x:c r="J4" s="21" t="str">
        <x:v>Dependencia</x:v>
      </x:c>
      <x:c r="K4" s="21" t="str">
        <x:v>Evidencia</x:v>
      </x:c>
      <x:c r="L4" s="21" t="str">
        <x:v>Tipo</x:v>
      </x:c>
    </x:row>
    <x:row r="5" ht="21.600000381469727" hidden="0" customHeight="1">
      <x:c r="A5" s="26" t="str">
        <x:v>PB-001</x:v>
      </x:c>
      <x:c r="B5" s="13" t="str">
        <x:v>Descubrimiento</x:v>
      </x:c>
      <x:c r="C5" s="13" t="str">
        <x:v>Como equipo queremos validar problema, usuarios y restricciones para construir la solución correcta.</x:v>
      </x:c>
      <x:c r="D5" s="13" t="str">
        <x:v>Entrevistas/minuta; actores; dolores y métricas validados.</x:v>
      </x:c>
      <x:c r="E5" s="13" t="str">
        <x:v>Must</x:v>
      </x:c>
      <x:c r="F5" s="13" t="n">
        <x:v>5</x:v>
      </x:c>
      <x:c r="G5" s="13" t="str">
        <x:v>Sprint 0</x:v>
      </x:c>
      <x:c r="H5" s="13" t="str">
        <x:v>Joel López</x:v>
      </x:c>
      <x:c r="I5" s="13" t="str">
        <x:v>Pendiente</x:v>
      </x:c>
      <x:c r="J5" s="13" t="str">
        <x:v>Contraparte</x:v>
      </x:c>
      <x:c r="K5" s="13" t="str">
        <x:v>Acta + mapa actores</x:v>
      </x:c>
      <x:c r="L5" s="13" t="str">
        <x:v>Análisis</x:v>
      </x:c>
    </x:row>
    <x:row r="6" ht="21.600000381469727" hidden="0" customHeight="1">
      <x:c r="A6" s="26" t="str">
        <x:v>PB-002</x:v>
      </x:c>
      <x:c r="B6" s="13" t="str">
        <x:v>Producto</x:v>
      </x:c>
      <x:c r="C6" s="13" t="str">
        <x:v>Como equipo queremos una visión de producto compartida para orientar decisiones.</x:v>
      </x:c>
      <x:c r="D6" s="13" t="str">
        <x:v>Vision board con propósito, usuarios, necesidades y valor; 4 pilares.</x:v>
      </x:c>
      <x:c r="E6" s="13" t="str">
        <x:v>Must</x:v>
      </x:c>
      <x:c r="F6" s="13" t="n">
        <x:v>3</x:v>
      </x:c>
      <x:c r="G6" s="13" t="str">
        <x:v>Sprint 0</x:v>
      </x:c>
      <x:c r="H6" s="13" t="str">
        <x:v>Joel López</x:v>
      </x:c>
      <x:c r="I6" s="13" t="str">
        <x:v>Pendiente</x:v>
      </x:c>
      <x:c r="J6" s="13" t="str">
        <x:v>PB-001</x:v>
      </x:c>
      <x:c r="K6" s="13" t="str">
        <x:v>Product Vision</x:v>
      </x:c>
      <x:c r="L6" s="13" t="str">
        <x:v>Documento</x:v>
      </x:c>
    </x:row>
    <x:row r="7" ht="21.600000381469727" hidden="0" customHeight="1">
      <x:c r="A7" s="26" t="str">
        <x:v>PB-003</x:v>
      </x:c>
      <x:c r="B7" s="13" t="str">
        <x:v>Gestión</x:v>
      </x:c>
      <x:c r="C7" s="13" t="str">
        <x:v>Como equipo queremos un backlog priorizado y estimado para planificar entregas.</x:v>
      </x:c>
      <x:c r="D7" s="13" t="str">
        <x:v>Épicas e historias con criterios, prioridad, puntos y dependencias.</x:v>
      </x:c>
      <x:c r="E7" s="13" t="str">
        <x:v>Must</x:v>
      </x:c>
      <x:c r="F7" s="13" t="n">
        <x:v>5</x:v>
      </x:c>
      <x:c r="G7" s="13" t="str">
        <x:v>Sprint 0</x:v>
      </x:c>
      <x:c r="H7" s="13" t="str">
        <x:v>Agustín Sorolla</x:v>
      </x:c>
      <x:c r="I7" s="13" t="str">
        <x:v>Pendiente</x:v>
      </x:c>
      <x:c r="J7" s="13" t="str">
        <x:v>PB-001</x:v>
      </x:c>
      <x:c r="K7" s="13" t="str">
        <x:v>Backlog v1</x:v>
      </x:c>
      <x:c r="L7" s="13" t="str">
        <x:v>Scrum</x:v>
      </x:c>
    </x:row>
    <x:row r="8" ht="21.600000381469727" hidden="0" customHeight="1">
      <x:c r="A8" s="26" t="str">
        <x:v>PB-004</x:v>
      </x:c>
      <x:c r="B8" s="13" t="str">
        <x:v>Calidad</x:v>
      </x:c>
      <x:c r="C8" s="13" t="str">
        <x:v>Como equipo queremos una DoD común para asegurar incrementos verificables.</x:v>
      </x:c>
      <x:c r="D8" s="13" t="str">
        <x:v>DoD aprobada y usada en revisión de historias.</x:v>
      </x:c>
      <x:c r="E8" s="13" t="str">
        <x:v>Must</x:v>
      </x:c>
      <x:c r="F8" s="13" t="n">
        <x:v>2</x:v>
      </x:c>
      <x:c r="G8" s="13" t="str">
        <x:v>Sprint 0</x:v>
      </x:c>
      <x:c r="H8" s="13" t="str">
        <x:v>Matías Martínez</x:v>
      </x:c>
      <x:c r="I8" s="13" t="str">
        <x:v>Pendiente</x:v>
      </x:c>
      <x:c r="J8" s="13" t="str">
        <x:v>Ninguna</x:v>
      </x:c>
      <x:c r="K8" s="13" t="str">
        <x:v>DoD</x:v>
      </x:c>
      <x:c r="L8" s="13" t="str">
        <x:v>Scrum</x:v>
      </x:c>
    </x:row>
    <x:row r="9" ht="21.600000381469727" hidden="0" customHeight="1">
      <x:c r="A9" s="26" t="str">
        <x:v>PB-005</x:v>
      </x:c>
      <x:c r="B9" s="13" t="str">
        <x:v>DevOps</x:v>
      </x:c>
      <x:c r="C9" s="13" t="str">
        <x:v>Como equipo queremos repositorio público y flujo de ramas para mantener trazabilidad.</x:v>
      </x:c>
      <x:c r="D9" s="13" t="str">
        <x:v>GitHub público; README; ramas; issues; evidencia commits.</x:v>
      </x:c>
      <x:c r="E9" s="13" t="str">
        <x:v>Must</x:v>
      </x:c>
      <x:c r="F9" s="13" t="n">
        <x:v>3</x:v>
      </x:c>
      <x:c r="G9" s="13" t="str">
        <x:v>Sprint 0</x:v>
      </x:c>
      <x:c r="H9" s="13" t="str">
        <x:v>Agustín Sorolla</x:v>
      </x:c>
      <x:c r="I9" s="13" t="str">
        <x:v>Pendiente</x:v>
      </x:c>
      <x:c r="J9" s="13" t="str">
        <x:v>Ninguna</x:v>
      </x:c>
      <x:c r="K9" s="13" t="str">
        <x:v>URL GitHub</x:v>
      </x:c>
      <x:c r="L9" s="13" t="str">
        <x:v>Técnico</x:v>
      </x:c>
    </x:row>
    <x:row r="10" ht="21.600000381469727" hidden="0" customHeight="1">
      <x:c r="A10" s="26" t="str">
        <x:v>PB-006</x:v>
      </x:c>
      <x:c r="B10" s="13" t="str">
        <x:v>Diseño</x:v>
      </x:c>
      <x:c r="C10" s="13" t="str">
        <x:v>Como arquitecto quiero definir arquitectura y decisiones para reducir riesgo técnico.</x:v>
      </x:c>
      <x:c r="D10" s="13" t="str">
        <x:v>Diagrama de componentes/comunicación y ADR de stack.</x:v>
      </x:c>
      <x:c r="E10" s="13" t="str">
        <x:v>Must</x:v>
      </x:c>
      <x:c r="F10" s="13" t="n">
        <x:v>5</x:v>
      </x:c>
      <x:c r="G10" s="13" t="str">
        <x:v>Sprint 1</x:v>
      </x:c>
      <x:c r="H10" s="13" t="str">
        <x:v>Joel López</x:v>
      </x:c>
      <x:c r="I10" s="13" t="str">
        <x:v>Pendiente</x:v>
      </x:c>
      <x:c r="J10" s="13" t="str">
        <x:v>PB-001</x:v>
      </x:c>
      <x:c r="K10" s="13" t="str">
        <x:v>Arquitectura + ADR</x:v>
      </x:c>
      <x:c r="L10" s="13" t="str">
        <x:v>Diseño</x:v>
      </x:c>
    </x:row>
    <x:row r="11" ht="15" hidden="0" customHeight="1">
      <x:c r="A11" s="26" t="str">
        <x:v>PB-007</x:v>
      </x:c>
      <x:c r="B11" s="13" t="str">
        <x:v>Datos</x:v>
      </x:c>
      <x:c r="C11" s="13" t="str">
        <x:v>Como equipo quiero un modelo de datos académico consistente.</x:v>
      </x:c>
      <x:c r="D11" s="13" t="str">
        <x:v>ER normalizado; diccionario; relaciones y restricciones revisadas.</x:v>
      </x:c>
      <x:c r="E11" s="13" t="str">
        <x:v>Must</x:v>
      </x:c>
      <x:c r="F11" s="13" t="n">
        <x:v>5</x:v>
      </x:c>
      <x:c r="G11" s="13" t="str">
        <x:v>Sprint 1</x:v>
      </x:c>
      <x:c r="H11" s="13" t="str">
        <x:v>Matías Martínez</x:v>
      </x:c>
      <x:c r="I11" s="13" t="str">
        <x:v>Pendiente</x:v>
      </x:c>
      <x:c r="J11" s="13" t="str">
        <x:v>PB-001</x:v>
      </x:c>
      <x:c r="K11" s="13" t="str">
        <x:v>Modelo ER</x:v>
      </x:c>
      <x:c r="L11" s="13" t="str">
        <x:v>Diseño</x:v>
      </x:c>
    </x:row>
    <x:row r="12" ht="21.600000381469727" hidden="0" customHeight="1">
      <x:c r="A12" s="26" t="str">
        <x:v>PB-008</x:v>
      </x:c>
      <x:c r="B12" s="13" t="str">
        <x:v>UX</x:v>
      </x:c>
      <x:c r="C12" s="13" t="str">
        <x:v>Como usuario quiero validar los flujos antes de implementar.</x:v>
      </x:c>
      <x:c r="D12" s="13" t="str">
        <x:v>Prototipo navegable de login, ficha, alerta y dashboard; feedback registrado.</x:v>
      </x:c>
      <x:c r="E12" s="13" t="str">
        <x:v>Must</x:v>
      </x:c>
      <x:c r="F12" s="13" t="n">
        <x:v>5</x:v>
      </x:c>
      <x:c r="G12" s="13" t="str">
        <x:v>Sprint 1</x:v>
      </x:c>
      <x:c r="H12" s="13" t="str">
        <x:v>Agustín Sorolla</x:v>
      </x:c>
      <x:c r="I12" s="13" t="str">
        <x:v>Pendiente</x:v>
      </x:c>
      <x:c r="J12" s="13" t="str">
        <x:v>PB-001</x:v>
      </x:c>
      <x:c r="K12" s="13" t="str">
        <x:v>Prototipo + prueba</x:v>
      </x:c>
      <x:c r="L12" s="13" t="str">
        <x:v>Diseño</x:v>
      </x:c>
    </x:row>
    <x:row r="13" ht="21.600000381469727" hidden="0" customHeight="1">
      <x:c r="A13" s="26" t="str">
        <x:v>PB-009</x:v>
      </x:c>
      <x:c r="B13" s="13" t="str">
        <x:v>Diseño</x:v>
      </x:c>
      <x:c r="C13" s="13" t="str">
        <x:v>Como equipo queremos UML de los flujos principales para alinear implementación.</x:v>
      </x:c>
      <x:c r="D13" s="13" t="str">
        <x:v>Casos de uso, clases si aplica, secuencias principales y componentes.</x:v>
      </x:c>
      <x:c r="E13" s="13" t="str">
        <x:v>Must</x:v>
      </x:c>
      <x:c r="F13" s="13" t="n">
        <x:v>5</x:v>
      </x:c>
      <x:c r="G13" s="13" t="str">
        <x:v>Sprint 1</x:v>
      </x:c>
      <x:c r="H13" s="13" t="str">
        <x:v>Joel López</x:v>
      </x:c>
      <x:c r="I13" s="13" t="str">
        <x:v>Pendiente</x:v>
      </x:c>
      <x:c r="J13" s="13" t="str">
        <x:v>PB-006, PB-007</x:v>
      </x:c>
      <x:c r="K13" s="13" t="str">
        <x:v>Diagramas UML</x:v>
      </x:c>
      <x:c r="L13" s="13" t="str">
        <x:v>Diseño</x:v>
      </x:c>
    </x:row>
    <x:row r="14" ht="15" hidden="0" customHeight="1">
      <x:c r="A14" s="26" t="str">
        <x:v>PB-010</x:v>
      </x:c>
      <x:c r="B14" s="13" t="str">
        <x:v>Capstone</x:v>
      </x:c>
      <x:c r="C14" s="13" t="str">
        <x:v>Como equipo queremos entregar la definición Fase 1 completa.</x:v>
      </x:c>
      <x:c r="D14" s="13" t="str">
        <x:v>Plantilla oficial, evidencia, Gantt, citas y presentación revisadas.</x:v>
      </x:c>
      <x:c r="E14" s="13" t="str">
        <x:v>Must</x:v>
      </x:c>
      <x:c r="F14" s="13" t="n">
        <x:v>5</x:v>
      </x:c>
      <x:c r="G14" s="13" t="str">
        <x:v>Sprint 1</x:v>
      </x:c>
      <x:c r="H14" s="13" t="str">
        <x:v>Joel López</x:v>
      </x:c>
      <x:c r="I14" s="13" t="str">
        <x:v>Pendiente</x:v>
      </x:c>
      <x:c r="J14" s="13" t="str">
        <x:v>PB-001..009</x:v>
      </x:c>
      <x:c r="K14" s="13" t="str">
        <x:v>Entrega Fase 1</x:v>
      </x:c>
      <x:c r="L14" s="13" t="str">
        <x:v>Académico</x:v>
      </x:c>
    </x:row>
    <x:row r="15" ht="21.600000381469727" hidden="0" customHeight="1">
      <x:c r="A15" s="26" t="str">
        <x:v>PB-011</x:v>
      </x:c>
      <x:c r="B15" s="13" t="str">
        <x:v>Seguridad</x:v>
      </x:c>
      <x:c r="C15" s="13" t="str">
        <x:v>Como usuario quiero autenticarme para acceder de forma segura.</x:v>
      </x:c>
      <x:c r="D15" s="13" t="str">
        <x:v>Login/logout; contraseña protegida; sesiones; pruebas positivas/negativas.</x:v>
      </x:c>
      <x:c r="E15" s="13" t="str">
        <x:v>Must</x:v>
      </x:c>
      <x:c r="F15" s="13" t="n">
        <x:v>8</x:v>
      </x:c>
      <x:c r="G15" s="13" t="str">
        <x:v>Sprint 2</x:v>
      </x:c>
      <x:c r="H15" s="13" t="str">
        <x:v>Agustín Sorolla</x:v>
      </x:c>
      <x:c r="I15" s="13" t="str">
        <x:v>Pendiente</x:v>
      </x:c>
      <x:c r="J15" s="13" t="str">
        <x:v>PB-005, PB-006</x:v>
      </x:c>
      <x:c r="K15" s="13" t="str">
        <x:v>Demo + tests</x:v>
      </x:c>
      <x:c r="L15" s="13" t="str">
        <x:v>Funcional</x:v>
      </x:c>
    </x:row>
    <x:row r="16" ht="15" hidden="0" customHeight="1">
      <x:c r="A16" s="26" t="str">
        <x:v>PB-012</x:v>
      </x:c>
      <x:c r="B16" s="13" t="str">
        <x:v>Seguridad</x:v>
      </x:c>
      <x:c r="C16" s="13" t="str">
        <x:v>Como administrador quiero gestionar roles y permisos para limitar accesos.</x:v>
      </x:c>
      <x:c r="D16" s="13" t="str">
        <x:v>RBAC; matriz permisos; denegación verificada; mínimo privilegio.</x:v>
      </x:c>
      <x:c r="E16" s="13" t="str">
        <x:v>Must</x:v>
      </x:c>
      <x:c r="F16" s="13" t="n">
        <x:v>8</x:v>
      </x:c>
      <x:c r="G16" s="13" t="str">
        <x:v>Sprint 2</x:v>
      </x:c>
      <x:c r="H16" s="13" t="str">
        <x:v>Joel López</x:v>
      </x:c>
      <x:c r="I16" s="13" t="str">
        <x:v>Pendiente</x:v>
      </x:c>
      <x:c r="J16" s="13" t="str">
        <x:v>PB-011</x:v>
      </x:c>
      <x:c r="K16" s="13" t="str">
        <x:v>Matriz + tests</x:v>
      </x:c>
      <x:c r="L16" s="13" t="str">
        <x:v>Funcional</x:v>
      </x:c>
    </x:row>
    <x:row r="17" ht="21.600000381469727" hidden="0" customHeight="1">
      <x:c r="A17" s="26" t="str">
        <x:v>PB-013</x:v>
      </x:c>
      <x:c r="B17" s="13" t="str">
        <x:v>Académico</x:v>
      </x:c>
      <x:c r="C17" s="13" t="str">
        <x:v>Como administrador quiero gestionar sedes, carreras, asignaturas y secciones.</x:v>
      </x:c>
      <x:c r="D17" s="13" t="str">
        <x:v>CRUD, validaciones, relaciones y auditoría básica.</x:v>
      </x:c>
      <x:c r="E17" s="13" t="str">
        <x:v>Must</x:v>
      </x:c>
      <x:c r="F17" s="13" t="n">
        <x:v>8</x:v>
      </x:c>
      <x:c r="G17" s="13" t="str">
        <x:v>Sprint 2</x:v>
      </x:c>
      <x:c r="H17" s="13" t="str">
        <x:v>Matías Martínez</x:v>
      </x:c>
      <x:c r="I17" s="13" t="str">
        <x:v>Pendiente</x:v>
      </x:c>
      <x:c r="J17" s="13" t="str">
        <x:v>PB-007, PB-012</x:v>
      </x:c>
      <x:c r="K17" s="13" t="str">
        <x:v>Demo + tests</x:v>
      </x:c>
      <x:c r="L17" s="13" t="str">
        <x:v>Funcional</x:v>
      </x:c>
    </x:row>
    <x:row r="18" ht="15" hidden="0" customHeight="1">
      <x:c r="A18" s="26" t="str">
        <x:v>PB-014</x:v>
      </x:c>
      <x:c r="B18" s="13" t="str">
        <x:v>DevOps</x:v>
      </x:c>
      <x:c r="C18" s="13" t="str">
        <x:v>Como equipo queremos entorno Docker reproducible.</x:v>
      </x:c>
      <x:c r="D18" s="13" t="str">
        <x:v>Dockerfiles, compose, variables ejemplo e instrucciones ejecutables.</x:v>
      </x:c>
      <x:c r="E18" s="13" t="str">
        <x:v>Must</x:v>
      </x:c>
      <x:c r="F18" s="13" t="n">
        <x:v>5</x:v>
      </x:c>
      <x:c r="G18" s="13" t="str">
        <x:v>Sprint 2</x:v>
      </x:c>
      <x:c r="H18" s="13" t="str">
        <x:v>Agustín Sorolla</x:v>
      </x:c>
      <x:c r="I18" s="13" t="str">
        <x:v>Pendiente</x:v>
      </x:c>
      <x:c r="J18" s="13" t="str">
        <x:v>PB-005, PB-006</x:v>
      </x:c>
      <x:c r="K18" s="13" t="str">
        <x:v>Despliegue local</x:v>
      </x:c>
      <x:c r="L18" s="13" t="str">
        <x:v>Técnico</x:v>
      </x:c>
    </x:row>
    <x:row r="19" ht="15" hidden="0" customHeight="1">
      <x:c r="A19" s="26" t="str">
        <x:v>PB-015</x:v>
      </x:c>
      <x:c r="B19" s="13" t="str">
        <x:v>Académico</x:v>
      </x:c>
      <x:c r="C19" s="13" t="str">
        <x:v>Como gestor quiero administrar estudiantes y sus datos académicos.</x:v>
      </x:c>
      <x:c r="D19" s="13" t="str">
        <x:v>Crear/editar/consultar; validación; búsqueda; permisos.</x:v>
      </x:c>
      <x:c r="E19" s="13" t="str">
        <x:v>Must</x:v>
      </x:c>
      <x:c r="F19" s="13" t="n">
        <x:v>8</x:v>
      </x:c>
      <x:c r="G19" s="13" t="str">
        <x:v>Sprint 3</x:v>
      </x:c>
      <x:c r="H19" s="13" t="str">
        <x:v>Matías Martínez</x:v>
      </x:c>
      <x:c r="I19" s="13" t="str">
        <x:v>Pendiente</x:v>
      </x:c>
      <x:c r="J19" s="13" t="str">
        <x:v>PB-013</x:v>
      </x:c>
      <x:c r="K19" s="13" t="str">
        <x:v>Demo + tests</x:v>
      </x:c>
      <x:c r="L19" s="13" t="str">
        <x:v>Funcional</x:v>
      </x:c>
    </x:row>
    <x:row r="20" ht="15" hidden="0" customHeight="1">
      <x:c r="A20" s="26" t="str">
        <x:v>PB-016</x:v>
      </x:c>
      <x:c r="B20" s="13" t="str">
        <x:v>Académico</x:v>
      </x:c>
      <x:c r="C20" s="13" t="str">
        <x:v>Como gestor quiero matricular estudiantes en secciones.</x:v>
      </x:c>
      <x:c r="D20" s="13" t="str">
        <x:v>Evita duplicados; controla estado; mantiene historial.</x:v>
      </x:c>
      <x:c r="E20" s="13" t="str">
        <x:v>Must</x:v>
      </x:c>
      <x:c r="F20" s="13" t="n">
        <x:v>5</x:v>
      </x:c>
      <x:c r="G20" s="13" t="str">
        <x:v>Sprint 3</x:v>
      </x:c>
      <x:c r="H20" s="13" t="str">
        <x:v>Joel López</x:v>
      </x:c>
      <x:c r="I20" s="13" t="str">
        <x:v>Pendiente</x:v>
      </x:c>
      <x:c r="J20" s="13" t="str">
        <x:v>PB-015</x:v>
      </x:c>
      <x:c r="K20" s="13" t="str">
        <x:v>Demo + tests</x:v>
      </x:c>
      <x:c r="L20" s="13" t="str">
        <x:v>Funcional</x:v>
      </x:c>
    </x:row>
    <x:row r="21" ht="21.600000381469727" hidden="0" customHeight="1">
      <x:c r="A21" s="26" t="str">
        <x:v>PB-017</x:v>
      </x:c>
      <x:c r="B21" s="13" t="str">
        <x:v>Evaluación</x:v>
      </x:c>
      <x:c r="C21" s="13" t="str">
        <x:v>Como docente quiero registrar calificaciones para mantener avance actualizado.</x:v>
      </x:c>
      <x:c r="D21" s="13" t="str">
        <x:v>Escala y ponderaciones válidas; edición controlada; cálculo trazable.</x:v>
      </x:c>
      <x:c r="E21" s="13" t="str">
        <x:v>Must</x:v>
      </x:c>
      <x:c r="F21" s="13" t="n">
        <x:v>8</x:v>
      </x:c>
      <x:c r="G21" s="13" t="str">
        <x:v>Sprint 3</x:v>
      </x:c>
      <x:c r="H21" s="13" t="str">
        <x:v>Agustín Sorolla</x:v>
      </x:c>
      <x:c r="I21" s="13" t="str">
        <x:v>Pendiente</x:v>
      </x:c>
      <x:c r="J21" s="13" t="str">
        <x:v>PB-016</x:v>
      </x:c>
      <x:c r="K21" s="13" t="str">
        <x:v>Demo + tests</x:v>
      </x:c>
      <x:c r="L21" s="13" t="str">
        <x:v>Funcional</x:v>
      </x:c>
    </x:row>
    <x:row r="22" ht="21.600000381469727" hidden="0" customHeight="1">
      <x:c r="A22" s="26" t="str">
        <x:v>PB-018</x:v>
      </x:c>
      <x:c r="B22" s="13" t="str">
        <x:v>Integración</x:v>
      </x:c>
      <x:c r="C22" s="13" t="str">
        <x:v>Como usuario quiero importar datos controladamente para reducir carga manual.</x:v>
      </x:c>
      <x:c r="D22" s="13" t="str">
        <x:v>Plantilla CSV; validación por fila; resumen errores; reversibilidad.</x:v>
      </x:c>
      <x:c r="E22" s="13" t="str">
        <x:v>Should</x:v>
      </x:c>
      <x:c r="F22" s="13" t="n">
        <x:v>5</x:v>
      </x:c>
      <x:c r="G22" s="13" t="str">
        <x:v>Sprint 3</x:v>
      </x:c>
      <x:c r="H22" s="13" t="str">
        <x:v>Matías Martínez</x:v>
      </x:c>
      <x:c r="I22" s="13" t="str">
        <x:v>Pendiente</x:v>
      </x:c>
      <x:c r="J22" s="13" t="str">
        <x:v>PB-015</x:v>
      </x:c>
      <x:c r="K22" s="13" t="str">
        <x:v>Archivo + log</x:v>
      </x:c>
      <x:c r="L22" s="13" t="str">
        <x:v>Funcional</x:v>
      </x:c>
    </x:row>
    <x:row r="23" ht="15" hidden="0" customHeight="1">
      <x:c r="A23" s="26" t="str">
        <x:v>PB-019</x:v>
      </x:c>
      <x:c r="B23" s="13" t="str">
        <x:v>Asistencia</x:v>
      </x:c>
      <x:c r="C23" s="13" t="str">
        <x:v>Como docente quiero registrar asistencia por sesión.</x:v>
      </x:c>
      <x:c r="D23" s="13" t="str">
        <x:v>Estados válidos; edición autorizada; porcentaje calculado.</x:v>
      </x:c>
      <x:c r="E23" s="13" t="str">
        <x:v>Must</x:v>
      </x:c>
      <x:c r="F23" s="13" t="n">
        <x:v>8</x:v>
      </x:c>
      <x:c r="G23" s="13" t="str">
        <x:v>Sprint 4</x:v>
      </x:c>
      <x:c r="H23" s="13" t="str">
        <x:v>Agustín Sorolla</x:v>
      </x:c>
      <x:c r="I23" s="13" t="str">
        <x:v>Pendiente</x:v>
      </x:c>
      <x:c r="J23" s="13" t="str">
        <x:v>PB-016</x:v>
      </x:c>
      <x:c r="K23" s="13" t="str">
        <x:v>Demo + tests</x:v>
      </x:c>
      <x:c r="L23" s="13" t="str">
        <x:v>Funcional</x:v>
      </x:c>
    </x:row>
    <x:row r="24" ht="21.600000381469727" hidden="0" customHeight="1">
      <x:c r="A24" s="26" t="str">
        <x:v>PB-020</x:v>
      </x:c>
      <x:c r="B24" s="13" t="str">
        <x:v>Alertas</x:v>
      </x:c>
      <x:c r="C24" s="13" t="str">
        <x:v>Como coordinador quiero reglas de riesgo configurables para detectar casos tempranos.</x:v>
      </x:c>
      <x:c r="D24" s="13" t="str">
        <x:v>Umbrales de nota/asistencia; regla trazable; severidad; explicación.</x:v>
      </x:c>
      <x:c r="E24" s="13" t="str">
        <x:v>Must</x:v>
      </x:c>
      <x:c r="F24" s="13" t="n">
        <x:v>8</x:v>
      </x:c>
      <x:c r="G24" s="13" t="str">
        <x:v>Sprint 4</x:v>
      </x:c>
      <x:c r="H24" s="13" t="str">
        <x:v>Joel López</x:v>
      </x:c>
      <x:c r="I24" s="13" t="str">
        <x:v>Pendiente</x:v>
      </x:c>
      <x:c r="J24" s="13" t="str">
        <x:v>PB-017, PB-019</x:v>
      </x:c>
      <x:c r="K24" s="13" t="str">
        <x:v>Alertas v1</x:v>
      </x:c>
      <x:c r="L24" s="13" t="str">
        <x:v>Funcional</x:v>
      </x:c>
    </x:row>
    <x:row r="25" ht="15" hidden="0" customHeight="1">
      <x:c r="A25" s="26" t="str">
        <x:v>PB-021</x:v>
      </x:c>
      <x:c r="B25" s="13" t="str">
        <x:v>Analítica</x:v>
      </x:c>
      <x:c r="C25" s="13" t="str">
        <x:v>Como coordinador quiero un tablero de alertas para priorizar acciones.</x:v>
      </x:c>
      <x:c r="D25" s="13" t="str">
        <x:v>Filtros; indicadores; orden por riesgo; acceso por rol.</x:v>
      </x:c>
      <x:c r="E25" s="13" t="str">
        <x:v>Must</x:v>
      </x:c>
      <x:c r="F25" s="13" t="n">
        <x:v>8</x:v>
      </x:c>
      <x:c r="G25" s="13" t="str">
        <x:v>Sprint 4</x:v>
      </x:c>
      <x:c r="H25" s="13" t="str">
        <x:v>Agustín Sorolla</x:v>
      </x:c>
      <x:c r="I25" s="13" t="str">
        <x:v>Pendiente</x:v>
      </x:c>
      <x:c r="J25" s="13" t="str">
        <x:v>PB-020</x:v>
      </x:c>
      <x:c r="K25" s="13" t="str">
        <x:v>Dashboard v1</x:v>
      </x:c>
      <x:c r="L25" s="13" t="str">
        <x:v>Funcional</x:v>
      </x:c>
    </x:row>
    <x:row r="26" ht="21.600000381469727" hidden="0" customHeight="1">
      <x:c r="A26" s="26" t="str">
        <x:v>PB-022</x:v>
      </x:c>
      <x:c r="B26" s="13" t="str">
        <x:v>Capstone</x:v>
      </x:c>
      <x:c r="C26" s="13" t="str">
        <x:v>Como equipo queremos presentar un avance verificable en semana 10.</x:v>
      </x:c>
      <x:c r="D26" s="13" t="str">
        <x:v>Informe, evidencia de sprints, pruebas, demo y retrospectivas consolidadas.</x:v>
      </x:c>
      <x:c r="E26" s="13" t="str">
        <x:v>Must</x:v>
      </x:c>
      <x:c r="F26" s="13" t="n">
        <x:v>5</x:v>
      </x:c>
      <x:c r="G26" s="13" t="str">
        <x:v>Sprint 4</x:v>
      </x:c>
      <x:c r="H26" s="13" t="str">
        <x:v>Matías Martínez</x:v>
      </x:c>
      <x:c r="I26" s="13" t="str">
        <x:v>Pendiente</x:v>
      </x:c>
      <x:c r="J26" s="13" t="str">
        <x:v>PB-011..021</x:v>
      </x:c>
      <x:c r="K26" s="13" t="str">
        <x:v>Entrega avance</x:v>
      </x:c>
      <x:c r="L26" s="13" t="str">
        <x:v>Académico</x:v>
      </x:c>
    </x:row>
    <x:row r="27" ht="15" hidden="0" customHeight="1">
      <x:c r="A27" s="26" t="str">
        <x:v>PB-023</x:v>
      </x:c>
      <x:c r="B27" s="13" t="str">
        <x:v>Seguimiento</x:v>
      </x:c>
      <x:c r="C27" s="13" t="str">
        <x:v>Como orientador quiero abrir y gestionar un caso de seguimiento.</x:v>
      </x:c>
      <x:c r="D27" s="13" t="str">
        <x:v>Estado, responsable, acciones, fechas, comentarios e historial.</x:v>
      </x:c>
      <x:c r="E27" s="13" t="str">
        <x:v>Must</x:v>
      </x:c>
      <x:c r="F27" s="13" t="n">
        <x:v>8</x:v>
      </x:c>
      <x:c r="G27" s="13" t="str">
        <x:v>Sprint 5</x:v>
      </x:c>
      <x:c r="H27" s="13" t="str">
        <x:v>Joel López</x:v>
      </x:c>
      <x:c r="I27" s="13" t="str">
        <x:v>Pendiente</x:v>
      </x:c>
      <x:c r="J27" s="13" t="str">
        <x:v>PB-020</x:v>
      </x:c>
      <x:c r="K27" s="13" t="str">
        <x:v>Demo + tests</x:v>
      </x:c>
      <x:c r="L27" s="13" t="str">
        <x:v>Funcional</x:v>
      </x:c>
    </x:row>
    <x:row r="28" ht="15" hidden="0" customHeight="1">
      <x:c r="A28" s="26" t="str">
        <x:v>PB-024</x:v>
      </x:c>
      <x:c r="B28" s="13" t="str">
        <x:v>Seguimiento</x:v>
      </x:c>
      <x:c r="C28" s="13" t="str">
        <x:v>Como usuario autorizado quiero una ficha 360 del estudiante.</x:v>
      </x:c>
      <x:c r="D28" s="13" t="str">
        <x:v>Notas, asistencia, alertas y acciones visibles según permisos.</x:v>
      </x:c>
      <x:c r="E28" s="13" t="str">
        <x:v>Must</x:v>
      </x:c>
      <x:c r="F28" s="13" t="n">
        <x:v>8</x:v>
      </x:c>
      <x:c r="G28" s="13" t="str">
        <x:v>Sprint 5</x:v>
      </x:c>
      <x:c r="H28" s="13" t="str">
        <x:v>Agustín Sorolla</x:v>
      </x:c>
      <x:c r="I28" s="13" t="str">
        <x:v>Pendiente</x:v>
      </x:c>
      <x:c r="J28" s="13" t="str">
        <x:v>PB-017, PB-019, PB-023</x:v>
      </x:c>
      <x:c r="K28" s="13" t="str">
        <x:v>Ficha 360</x:v>
      </x:c>
      <x:c r="L28" s="13" t="str">
        <x:v>Funcional</x:v>
      </x:c>
    </x:row>
    <x:row r="29" ht="15" hidden="0" customHeight="1">
      <x:c r="A29" s="26" t="str">
        <x:v>PB-025</x:v>
      </x:c>
      <x:c r="B29" s="13" t="str">
        <x:v>Notificaciones</x:v>
      </x:c>
      <x:c r="C29" s="13" t="str">
        <x:v>Como responsable quiero recibir avisos de alertas críticas.</x:v>
      </x:c>
      <x:c r="D29" s="13" t="str">
        <x:v>Evento, destinatario, contenido mínimo, reintento y registro.</x:v>
      </x:c>
      <x:c r="E29" s="13" t="str">
        <x:v>Should</x:v>
      </x:c>
      <x:c r="F29" s="13" t="n">
        <x:v>5</x:v>
      </x:c>
      <x:c r="G29" s="13" t="str">
        <x:v>Sprint 5</x:v>
      </x:c>
      <x:c r="H29" s="13" t="str">
        <x:v>Matías Martínez</x:v>
      </x:c>
      <x:c r="I29" s="13" t="str">
        <x:v>Pendiente</x:v>
      </x:c>
      <x:c r="J29" s="13" t="str">
        <x:v>PB-020</x:v>
      </x:c>
      <x:c r="K29" s="13" t="str">
        <x:v>Log notificaciones</x:v>
      </x:c>
      <x:c r="L29" s="13" t="str">
        <x:v>Funcional</x:v>
      </x:c>
    </x:row>
    <x:row r="30" ht="15" hidden="0" customHeight="1">
      <x:c r="A30" s="26" t="str">
        <x:v>PB-026</x:v>
      </x:c>
      <x:c r="B30" s="13" t="str">
        <x:v>Analítica</x:v>
      </x:c>
      <x:c r="C30" s="13" t="str">
        <x:v>Como directivo quiero indicadores agregados para evaluar tendencias.</x:v>
      </x:c>
      <x:c r="D30" s="13" t="str">
        <x:v>KPIs por sede/carrera/periodo; filtros; definiciones visibles.</x:v>
      </x:c>
      <x:c r="E30" s="13" t="str">
        <x:v>Should</x:v>
      </x:c>
      <x:c r="F30" s="13" t="n">
        <x:v>8</x:v>
      </x:c>
      <x:c r="G30" s="13" t="str">
        <x:v>Sprint 6</x:v>
      </x:c>
      <x:c r="H30" s="13" t="str">
        <x:v>Agustín Sorolla</x:v>
      </x:c>
      <x:c r="I30" s="13" t="str">
        <x:v>Pendiente</x:v>
      </x:c>
      <x:c r="J30" s="13" t="str">
        <x:v>PB-021</x:v>
      </x:c>
      <x:c r="K30" s="13" t="str">
        <x:v>Dashboard final</x:v>
      </x:c>
      <x:c r="L30" s="13" t="str">
        <x:v>Funcional</x:v>
      </x:c>
    </x:row>
    <x:row r="31" ht="15" hidden="0" customHeight="1">
      <x:c r="A31" s="26" t="str">
        <x:v>PB-027</x:v>
      </x:c>
      <x:c r="B31" s="13" t="str">
        <x:v>Reportes</x:v>
      </x:c>
      <x:c r="C31" s="13" t="str">
        <x:v>Como usuario quiero exportar reportes para análisis y respaldo.</x:v>
      </x:c>
      <x:c r="D31" s="13" t="str">
        <x:v>Exportación CSV/PDF con filtros, fecha y responsable.</x:v>
      </x:c>
      <x:c r="E31" s="13" t="str">
        <x:v>Could</x:v>
      </x:c>
      <x:c r="F31" s="13" t="n">
        <x:v>5</x:v>
      </x:c>
      <x:c r="G31" s="13" t="str">
        <x:v>Sprint 6</x:v>
      </x:c>
      <x:c r="H31" s="13" t="str">
        <x:v>Matías Martínez</x:v>
      </x:c>
      <x:c r="I31" s="13" t="str">
        <x:v>Pendiente</x:v>
      </x:c>
      <x:c r="J31" s="13" t="str">
        <x:v>PB-026</x:v>
      </x:c>
      <x:c r="K31" s="13" t="str">
        <x:v>Reporte exportado</x:v>
      </x:c>
      <x:c r="L31" s="13" t="str">
        <x:v>Funcional</x:v>
      </x:c>
    </x:row>
    <x:row r="32" ht="15" hidden="0" customHeight="1">
      <x:c r="A32" s="26" t="str">
        <x:v>PB-028</x:v>
      </x:c>
      <x:c r="B32" s="13" t="str">
        <x:v>Auditoría</x:v>
      </x:c>
      <x:c r="C32" s="13" t="str">
        <x:v>Como administrador quiero trazabilidad de cambios sensibles.</x:v>
      </x:c>
      <x:c r="D32" s="13" t="str">
        <x:v>Quién/cuándo/qué; consulta protegida; retención definida.</x:v>
      </x:c>
      <x:c r="E32" s="13" t="str">
        <x:v>Must</x:v>
      </x:c>
      <x:c r="F32" s="13" t="n">
        <x:v>8</x:v>
      </x:c>
      <x:c r="G32" s="13" t="str">
        <x:v>Sprint 6</x:v>
      </x:c>
      <x:c r="H32" s="13" t="str">
        <x:v>Joel López</x:v>
      </x:c>
      <x:c r="I32" s="13" t="str">
        <x:v>Pendiente</x:v>
      </x:c>
      <x:c r="J32" s="13" t="str">
        <x:v>PB-012</x:v>
      </x:c>
      <x:c r="K32" s="13" t="str">
        <x:v>Log auditoría</x:v>
      </x:c>
      <x:c r="L32" s="13" t="str">
        <x:v>No funcional</x:v>
      </x:c>
    </x:row>
    <x:row r="33" ht="15" hidden="0" customHeight="1">
      <x:c r="A33" s="26" t="str">
        <x:v>PB-029</x:v>
      </x:c>
      <x:c r="B33" s="13" t="str">
        <x:v>Calidad</x:v>
      </x:c>
      <x:c r="C33" s="13" t="str">
        <x:v>Como equipo queremos probar seguridad, rendimiento e integración.</x:v>
      </x:c>
      <x:c r="D33" s="13" t="str">
        <x:v>Plan; umbrales; resultados; defectos y re-pruebas documentadas.</x:v>
      </x:c>
      <x:c r="E33" s="13" t="str">
        <x:v>Must</x:v>
      </x:c>
      <x:c r="F33" s="13" t="n">
        <x:v>8</x:v>
      </x:c>
      <x:c r="G33" s="13" t="str">
        <x:v>Sprint 6</x:v>
      </x:c>
      <x:c r="H33" s="13" t="str">
        <x:v>Matías Martínez</x:v>
      </x:c>
      <x:c r="I33" s="13" t="str">
        <x:v>Pendiente</x:v>
      </x:c>
      <x:c r="J33" s="13" t="str">
        <x:v>Incrementos previos</x:v>
      </x:c>
      <x:c r="K33" s="13" t="str">
        <x:v>Informe pruebas</x:v>
      </x:c>
      <x:c r="L33" s="13" t="str">
        <x:v>Técnico</x:v>
      </x:c>
    </x:row>
    <x:row r="34" ht="15" hidden="0" customHeight="1">
      <x:c r="A34" s="26" t="str">
        <x:v>PB-030</x:v>
      </x:c>
      <x:c r="B34" s="13" t="str">
        <x:v>Documentación</x:v>
      </x:c>
      <x:c r="C34" s="13" t="str">
        <x:v>Como equipo queremos manual técnico y de despliegue reproducible.</x:v>
      </x:c>
      <x:c r="D34" s="13" t="str">
        <x:v>Arquitectura, configuración, ejecución, respaldo y solución de fallas.</x:v>
      </x:c>
      <x:c r="E34" s="13" t="str">
        <x:v>Must</x:v>
      </x:c>
      <x:c r="F34" s="13" t="n">
        <x:v>5</x:v>
      </x:c>
      <x:c r="G34" s="13" t="str">
        <x:v>Sprint 7</x:v>
      </x:c>
      <x:c r="H34" s="13" t="str">
        <x:v>Joel López</x:v>
      </x:c>
      <x:c r="I34" s="13" t="str">
        <x:v>Pendiente</x:v>
      </x:c>
      <x:c r="J34" s="13" t="str">
        <x:v>PB-014, PB-029</x:v>
      </x:c>
      <x:c r="K34" s="13" t="str">
        <x:v>Manual técnico</x:v>
      </x:c>
      <x:c r="L34" s="13" t="str">
        <x:v>Documento</x:v>
      </x:c>
    </x:row>
    <x:row r="35" ht="15" hidden="0" customHeight="1">
      <x:c r="A35" s="26" t="str">
        <x:v>PB-031</x:v>
      </x:c>
      <x:c r="B35" s="13" t="str">
        <x:v>Documentación</x:v>
      </x:c>
      <x:c r="C35" s="13" t="str">
        <x:v>Como usuario quiero un manual claro para operar SIGAA.</x:v>
      </x:c>
      <x:c r="D35" s="13" t="str">
        <x:v>Flujos por rol, capturas, validaciones y preguntas frecuentes.</x:v>
      </x:c>
      <x:c r="E35" s="13" t="str">
        <x:v>Should</x:v>
      </x:c>
      <x:c r="F35" s="13" t="n">
        <x:v>5</x:v>
      </x:c>
      <x:c r="G35" s="13" t="str">
        <x:v>Sprint 7</x:v>
      </x:c>
      <x:c r="H35" s="13" t="str">
        <x:v>Agustín Sorolla</x:v>
      </x:c>
      <x:c r="I35" s="13" t="str">
        <x:v>Pendiente</x:v>
      </x:c>
      <x:c r="J35" s="13" t="str">
        <x:v>PB-024, PB-026</x:v>
      </x:c>
      <x:c r="K35" s="13" t="str">
        <x:v>Manual usuario</x:v>
      </x:c>
      <x:c r="L35" s="13" t="str">
        <x:v>Documento</x:v>
      </x:c>
    </x:row>
    <x:row r="36" ht="15" hidden="0" customHeight="1">
      <x:c r="A36" s="26" t="str">
        <x:v>PB-032</x:v>
      </x:c>
      <x:c r="B36" s="13" t="str">
        <x:v>Innovación</x:v>
      </x:c>
      <x:c r="C36" s="13" t="str">
        <x:v>Como evaluador quiero comprender la innovación y el valor de SIGAA.</x:v>
      </x:c>
      <x:c r="D36" s="13" t="str">
        <x:v>Problema, diferenciación, valor y evidencia explicados.</x:v>
      </x:c>
      <x:c r="E36" s="13" t="str">
        <x:v>Must</x:v>
      </x:c>
      <x:c r="F36" s="13" t="n">
        <x:v>3</x:v>
      </x:c>
      <x:c r="G36" s="13" t="str">
        <x:v>Sprint 7</x:v>
      </x:c>
      <x:c r="H36" s="13" t="str">
        <x:v>Matías Martínez</x:v>
      </x:c>
      <x:c r="I36" s="13" t="str">
        <x:v>Pendiente</x:v>
      </x:c>
      <x:c r="J36" s="13" t="str">
        <x:v>PB-001, incrementos</x:v>
      </x:c>
      <x:c r="K36" s="13" t="str">
        <x:v>Sección innovación</x:v>
      </x:c>
      <x:c r="L36" s="13" t="str">
        <x:v>Académico</x:v>
      </x:c>
    </x:row>
    <x:row r="37" ht="15" hidden="0" customHeight="1">
      <x:c r="A37" s="26" t="str">
        <x:v>PB-033</x:v>
      </x:c>
      <x:c r="B37" s="13" t="str">
        <x:v>Capstone</x:v>
      </x:c>
      <x:c r="C37" s="13" t="str">
        <x:v>Como equipo queremos entregar Fase 2 completa y demostrable.</x:v>
      </x:c>
      <x:c r="D37" s="13" t="str">
        <x:v>Informe, presentación, release, pruebas, manuales y evidencias.</x:v>
      </x:c>
      <x:c r="E37" s="13" t="str">
        <x:v>Must</x:v>
      </x:c>
      <x:c r="F37" s="13" t="n">
        <x:v>8</x:v>
      </x:c>
      <x:c r="G37" s="13" t="str">
        <x:v>Sprint 7</x:v>
      </x:c>
      <x:c r="H37" s="13" t="str">
        <x:v>Equipo</x:v>
      </x:c>
      <x:c r="I37" s="13" t="str">
        <x:v>Pendiente</x:v>
      </x:c>
      <x:c r="J37" s="13" t="str">
        <x:v>PB-023..032</x:v>
      </x:c>
      <x:c r="K37" s="13" t="str">
        <x:v>Entrega Fase 2</x:v>
      </x:c>
      <x:c r="L37" s="13" t="str">
        <x:v>Académico</x:v>
      </x:c>
    </x:row>
    <x:row r="38" ht="21.600000381469727" hidden="0" customHeight="1">
      <x:c r="A38" s="26" t="str">
        <x:v>PB-034</x:v>
      </x:c>
      <x:c r="B38" s="13" t="str">
        <x:v>Cierre</x:v>
      </x:c>
      <x:c r="C38" s="13" t="str">
        <x:v>Como equipo queremos defender el proyecto y cerrar aprendizajes.</x:v>
      </x:c>
      <x:c r="D38" s="13" t="str">
        <x:v>Presentación final, demo estable, retrospectiva y repositorio congelado.</x:v>
      </x:c>
      <x:c r="E38" s="13" t="str">
        <x:v>Must</x:v>
      </x:c>
      <x:c r="F38" s="13" t="n">
        <x:v>5</x:v>
      </x:c>
      <x:c r="G38" s="13" t="str">
        <x:v>Release final</x:v>
      </x:c>
      <x:c r="H38" s="13" t="str">
        <x:v>Equipo</x:v>
      </x:c>
      <x:c r="I38" s="13" t="str">
        <x:v>Pendiente</x:v>
      </x:c>
      <x:c r="J38" s="13" t="str">
        <x:v>PB-033</x:v>
      </x:c>
      <x:c r="K38" s="13" t="str">
        <x:v>Fase 3 + retro</x:v>
      </x:c>
      <x:c r="L38" s="13" t="str">
        <x:v>Académico</x:v>
      </x:c>
    </x:row>
  </x:sheetData>
  <x:mergeCells>
    <x:mergeCell ref="A1:L1"/>
    <x:mergeCell ref="A2:L2"/>
  </x:mergeCells>
  <x:conditionalFormatting sqref="I5:I38">
    <x:cfRule type="containsText" dxfId="7" priority="1" operator="containsText" text="Terminado"/>
    <x:cfRule type="containsText" dxfId="8" priority="2" operator="containsText" text="En curso"/>
    <x:cfRule type="containsText" dxfId="9" priority="3" operator="containsText" text="Bloqueado"/>
  </x:conditionalFormatting>
  <x:conditionalFormatting sqref="E5:E38">
    <x:cfRule type="containsText" dxfId="10" priority="4" operator="containsText" text="Must"/>
  </x:conditionalFormatting>
  <x:dataValidations count="3">
    <x:dataValidation type="list" sqref="E5:E38">
      <x:formula1>"Must,Should,Could,Won't"</x:formula1>
    </x:dataValidation>
    <x:dataValidation type="list" sqref="F5:F38">
      <x:formula1>"1,2,3,5,8,13"</x:formula1>
    </x:dataValidation>
    <x:dataValidation type="list" sqref="I5:I38">
      <x:formula1>"Pendiente,En curso,Bloqueado,Terminado"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8" hidden="0" customWidth="1"/>
    <x:col min="3" max="3" width="8" hidden="0" customWidth="1"/>
    <x:col min="4" max="4" width="20" hidden="0" customWidth="1"/>
    <x:col min="5" max="5" width="25" hidden="0" customWidth="1"/>
    <x:col min="6" max="6" width="4" hidden="0" customWidth="1"/>
    <x:col min="7" max="7" width="4" hidden="0" customWidth="1"/>
    <x:col min="8" max="8" width="4" hidden="0" customWidth="1"/>
    <x:col min="9" max="9" width="4" hidden="0" customWidth="1"/>
    <x:col min="10" max="10" width="4" hidden="0" customWidth="1"/>
    <x:col min="11" max="11" width="4" hidden="0" customWidth="1"/>
    <x:col min="12" max="12" width="4" hidden="0" customWidth="1"/>
    <x:col min="13" max="13" width="4" hidden="0" customWidth="1"/>
    <x:col min="14" max="14" width="4" hidden="0" customWidth="1"/>
    <x:col min="15" max="15" width="4" hidden="0" customWidth="1"/>
    <x:col min="16" max="16" width="4" hidden="0" customWidth="1"/>
    <x:col min="17" max="17" width="4" hidden="0" customWidth="1"/>
    <x:col min="18" max="18" width="4" hidden="0" customWidth="1"/>
    <x:col min="19" max="19" width="4" hidden="0" customWidth="1"/>
    <x:col min="20" max="20" width="4" hidden="0" customWidth="1"/>
    <x:col min="21" max="21" width="4" hidden="0" customWidth="1"/>
    <x:col min="22" max="22" width="4" hidden="0" customWidth="1"/>
    <x:col min="23" max="23" width="4" hidden="0" customWidth="1"/>
  </x:cols>
  <x:sheetData>
    <x:row r="1" ht="21.600000381469727" hidden="0" customHeight="1">
      <x:c r="A1" s="4" t="str">
        <x:v>Carta Gantt · 18 semanas</x:v>
      </x:c>
      <x:c r="B1" s="4" t="str">
        <x:v>Carta Gantt · 18 semanas</x:v>
      </x:c>
      <x:c r="C1" s="4" t="str">
        <x:v>Carta Gantt · 18 semanas</x:v>
      </x:c>
      <x:c r="D1" s="4" t="str">
        <x:v>Carta Gantt · 18 semanas</x:v>
      </x:c>
      <x:c r="E1" s="4" t="str">
        <x:v>Carta Gantt · 18 semanas</x:v>
      </x:c>
      <x:c r="F1" s="4" t="str">
        <x:v>Carta Gantt · 18 semanas</x:v>
      </x:c>
      <x:c r="G1" s="4" t="str">
        <x:v>Carta Gantt · 18 semanas</x:v>
      </x:c>
      <x:c r="H1" s="4" t="str">
        <x:v>Carta Gantt · 18 semanas</x:v>
      </x:c>
      <x:c r="I1" s="4" t="str">
        <x:v>Carta Gantt · 18 semanas</x:v>
      </x:c>
      <x:c r="J1" s="4" t="str">
        <x:v>Carta Gantt · 18 semanas</x:v>
      </x:c>
      <x:c r="K1" s="4" t="str">
        <x:v>Carta Gantt · 18 semanas</x:v>
      </x:c>
      <x:c r="L1" s="4" t="str">
        <x:v>Carta Gantt · 18 semanas</x:v>
      </x:c>
      <x:c r="M1" s="4" t="str">
        <x:v>Carta Gantt · 18 semanas</x:v>
      </x:c>
      <x:c r="N1" s="4" t="str">
        <x:v>Carta Gantt · 18 semanas</x:v>
      </x:c>
      <x:c r="O1" s="4" t="str">
        <x:v>Carta Gantt · 18 semanas</x:v>
      </x:c>
      <x:c r="P1" s="4" t="str">
        <x:v>Carta Gantt · 18 semanas</x:v>
      </x:c>
      <x:c r="Q1" s="4" t="str">
        <x:v>Carta Gantt · 18 semanas</x:v>
      </x:c>
      <x:c r="R1" s="4" t="str">
        <x:v>Carta Gantt · 18 semanas</x:v>
      </x:c>
      <x:c r="S1" s="4" t="str">
        <x:v>Carta Gantt · 18 semanas</x:v>
      </x:c>
      <x:c r="T1" s="4" t="str">
        <x:v>Carta Gantt · 18 semanas</x:v>
      </x:c>
      <x:c r="U1" s="4" t="str">
        <x:v>Carta Gantt · 18 semanas</x:v>
      </x:c>
      <x:c r="V1" s="4" t="str">
        <x:v>Carta Gantt · 18 semanas</x:v>
      </x:c>
      <x:c r="W1" s="4" t="str">
        <x:v>Carta Gantt · 18 semanas</x:v>
      </x:c>
    </x:row>
    <x:row r="2" ht="15" hidden="0" customHeight="1">
      <x:c r="A2" s="7" t="str">
        <x:v>Las barras se generan por fórmula a partir de semana inicial y final; actualizar esas columnas reajusta el plan</x:v>
      </x:c>
      <x:c r="B2" s="7" t="str">
        <x:v>Las barras se generan por fórmula a partir de semana inicial y final; actualizar esas columnas reajusta el plan</x:v>
      </x:c>
      <x:c r="C2" s="7" t="str">
        <x:v>Las barras se generan por fórmula a partir de semana inicial y final; actualizar esas columnas reajusta el plan</x:v>
      </x:c>
      <x:c r="D2" s="7" t="str">
        <x:v>Las barras se generan por fórmula a partir de semana inicial y final; actualizar esas columnas reajusta el plan</x:v>
      </x:c>
      <x:c r="E2" s="7" t="str">
        <x:v>Las barras se generan por fórmula a partir de semana inicial y final; actualizar esas columnas reajusta el plan</x:v>
      </x:c>
      <x:c r="F2" s="7" t="str">
        <x:v>Las barras se generan por fórmula a partir de semana inicial y final; actualizar esas columnas reajusta el plan</x:v>
      </x:c>
      <x:c r="G2" s="7" t="str">
        <x:v>Las barras se generan por fórmula a partir de semana inicial y final; actualizar esas columnas reajusta el plan</x:v>
      </x:c>
      <x:c r="H2" s="7" t="str">
        <x:v>Las barras se generan por fórmula a partir de semana inicial y final; actualizar esas columnas reajusta el plan</x:v>
      </x:c>
      <x:c r="I2" s="7" t="str">
        <x:v>Las barras se generan por fórmula a partir de semana inicial y final; actualizar esas columnas reajusta el plan</x:v>
      </x:c>
      <x:c r="J2" s="7" t="str">
        <x:v>Las barras se generan por fórmula a partir de semana inicial y final; actualizar esas columnas reajusta el plan</x:v>
      </x:c>
      <x:c r="K2" s="7" t="str">
        <x:v>Las barras se generan por fórmula a partir de semana inicial y final; actualizar esas columnas reajusta el plan</x:v>
      </x:c>
      <x:c r="L2" s="7" t="str">
        <x:v>Las barras se generan por fórmula a partir de semana inicial y final; actualizar esas columnas reajusta el plan</x:v>
      </x:c>
      <x:c r="M2" s="7" t="str">
        <x:v>Las barras se generan por fórmula a partir de semana inicial y final; actualizar esas columnas reajusta el plan</x:v>
      </x:c>
      <x:c r="N2" s="7" t="str">
        <x:v>Las barras se generan por fórmula a partir de semana inicial y final; actualizar esas columnas reajusta el plan</x:v>
      </x:c>
      <x:c r="O2" s="7" t="str">
        <x:v>Las barras se generan por fórmula a partir de semana inicial y final; actualizar esas columnas reajusta el plan</x:v>
      </x:c>
      <x:c r="P2" s="7" t="str">
        <x:v>Las barras se generan por fórmula a partir de semana inicial y final; actualizar esas columnas reajusta el plan</x:v>
      </x:c>
      <x:c r="Q2" s="7" t="str">
        <x:v>Las barras se generan por fórmula a partir de semana inicial y final; actualizar esas columnas reajusta el plan</x:v>
      </x:c>
      <x:c r="R2" s="7" t="str">
        <x:v>Las barras se generan por fórmula a partir de semana inicial y final; actualizar esas columnas reajusta el plan</x:v>
      </x:c>
      <x:c r="S2" s="7" t="str">
        <x:v>Las barras se generan por fórmula a partir de semana inicial y final; actualizar esas columnas reajusta el plan</x:v>
      </x:c>
      <x:c r="T2" s="7" t="str">
        <x:v>Las barras se generan por fórmula a partir de semana inicial y final; actualizar esas columnas reajusta el plan</x:v>
      </x:c>
      <x:c r="U2" s="7" t="str">
        <x:v>Las barras se generan por fórmula a partir de semana inicial y final; actualizar esas columnas reajusta el plan</x:v>
      </x:c>
      <x:c r="V2" s="7" t="str">
        <x:v>Las barras se generan por fórmula a partir de semana inicial y final; actualizar esas columnas reajusta el plan</x:v>
      </x:c>
      <x:c r="W2" s="7" t="str">
        <x:v>Las barras se generan por fórmula a partir de semana inicial y final; actualizar esas columnas reajusta el plan</x:v>
      </x:c>
    </x:row>
    <x:row r="3" ht="15" hidden="0" customHeight="1">
      <x:c r="F3" s="28" t="str">
        <x:v>F1</x:v>
      </x:c>
      <x:c r="G3" s="28" t="str">
        <x:v>F1</x:v>
      </x:c>
      <x:c r="H3" s="28" t="str">
        <x:v>F1</x:v>
      </x:c>
      <x:c r="I3" s="28" t="str">
        <x:v>F1</x:v>
      </x:c>
      <x:c r="J3" s="28" t="str">
        <x:v>F2</x:v>
      </x:c>
      <x:c r="K3" s="28" t="str">
        <x:v>F2</x:v>
      </x:c>
      <x:c r="L3" s="28" t="str">
        <x:v>F2</x:v>
      </x:c>
      <x:c r="M3" s="28" t="str">
        <x:v>F2</x:v>
      </x:c>
      <x:c r="N3" s="28" t="str">
        <x:v>F2</x:v>
      </x:c>
      <x:c r="O3" s="28" t="str">
        <x:v>F2</x:v>
      </x:c>
      <x:c r="P3" s="28" t="str">
        <x:v>F2</x:v>
      </x:c>
      <x:c r="Q3" s="28" t="str">
        <x:v>F2</x:v>
      </x:c>
      <x:c r="R3" s="28" t="str">
        <x:v>F2</x:v>
      </x:c>
      <x:c r="S3" s="28" t="str">
        <x:v>F2</x:v>
      </x:c>
      <x:c r="T3" s="28" t="str">
        <x:v>F2</x:v>
      </x:c>
      <x:c r="U3" s="28" t="str">
        <x:v>F3</x:v>
      </x:c>
      <x:c r="V3" s="28" t="str">
        <x:v>F3</x:v>
      </x:c>
      <x:c r="W3" s="28" t="str">
        <x:v>F3</x:v>
      </x:c>
    </x:row>
    <x:row r="4" ht="15" hidden="0" customHeight="1">
      <x:c r="A4" s="21" t="str">
        <x:v>Actividad</x:v>
      </x:c>
      <x:c r="B4" s="21" t="str">
        <x:v>Inicio</x:v>
      </x:c>
      <x:c r="C4" s="21" t="str">
        <x:v>Fin</x:v>
      </x:c>
      <x:c r="D4" s="21" t="str">
        <x:v>Responsable</x:v>
      </x:c>
      <x:c r="E4" s="21" t="str">
        <x:v>Entregable</x:v>
      </x:c>
      <x:c r="F4" s="27" t="n">
        <x:v>1</x:v>
      </x:c>
      <x:c r="G4" s="27" t="n">
        <x:v>2</x:v>
      </x:c>
      <x:c r="H4" s="27" t="n">
        <x:v>3</x:v>
      </x:c>
      <x:c r="I4" s="27" t="n">
        <x:v>4</x:v>
      </x:c>
      <x:c r="J4" s="27" t="n">
        <x:v>5</x:v>
      </x:c>
      <x:c r="K4" s="27" t="n">
        <x:v>6</x:v>
      </x:c>
      <x:c r="L4" s="27" t="n">
        <x:v>7</x:v>
      </x:c>
      <x:c r="M4" s="27" t="n">
        <x:v>8</x:v>
      </x:c>
      <x:c r="N4" s="27" t="n">
        <x:v>9</x:v>
      </x:c>
      <x:c r="O4" s="27" t="n">
        <x:v>10</x:v>
      </x:c>
      <x:c r="P4" s="27" t="n">
        <x:v>11</x:v>
      </x:c>
      <x:c r="Q4" s="27" t="n">
        <x:v>12</x:v>
      </x:c>
      <x:c r="R4" s="27" t="n">
        <x:v>13</x:v>
      </x:c>
      <x:c r="S4" s="27" t="n">
        <x:v>14</x:v>
      </x:c>
      <x:c r="T4" s="27" t="n">
        <x:v>15</x:v>
      </x:c>
      <x:c r="U4" s="27" t="n">
        <x:v>16</x:v>
      </x:c>
      <x:c r="V4" s="27" t="n">
        <x:v>17</x:v>
      </x:c>
      <x:c r="W4" s="27" t="n">
        <x:v>18</x:v>
      </x:c>
    </x:row>
    <x:row r="5" ht="15.600000381469727" hidden="0" customHeight="1">
      <x:c r="A5" s="13" t="str">
        <x:v>Gobernanza Scrum y repositorio</x:v>
      </x:c>
      <x:c r="B5" s="13" t="n">
        <x:v>1</x:v>
      </x:c>
      <x:c r="C5" s="13" t="n">
        <x:v>18</x:v>
      </x:c>
      <x:c r="D5" s="13" t="str">
        <x:v>Agustín Sorolla</x:v>
      </x:c>
      <x:c r="E5" s="13" t="str">
        <x:v>Tablero, actas, métricas, GitHub</x:v>
      </x:c>
      <x:c r="F5" s="29" t="str">
        <x:f>IF(AND(F$4&gt;=$B5,F$4&lt;=$C5),"■","")</x:f>
        <x:v>■</x:v>
      </x:c>
      <x:c r="G5" s="29" t="str">
        <x:f>IF(AND(G$4&gt;=$B5,G$4&lt;=$C5),"■","")</x:f>
        <x:v>■</x:v>
      </x:c>
      <x:c r="H5" s="29" t="str">
        <x:f>IF(AND(H$4&gt;=$B5,H$4&lt;=$C5),"■","")</x:f>
        <x:v>■</x:v>
      </x:c>
      <x:c r="I5" s="29" t="str">
        <x:f>IF(AND(I$4&gt;=$B5,I$4&lt;=$C5),"■","")</x:f>
        <x:v>■</x:v>
      </x:c>
      <x:c r="J5" s="29" t="str">
        <x:f>IF(AND(J$4&gt;=$B5,J$4&lt;=$C5),"■","")</x:f>
        <x:v>■</x:v>
      </x:c>
      <x:c r="K5" s="29" t="str">
        <x:f>IF(AND(K$4&gt;=$B5,K$4&lt;=$C5),"■","")</x:f>
        <x:v>■</x:v>
      </x:c>
      <x:c r="L5" s="29" t="str">
        <x:f>IF(AND(L$4&gt;=$B5,L$4&lt;=$C5),"■","")</x:f>
        <x:v>■</x:v>
      </x:c>
      <x:c r="M5" s="29" t="str">
        <x:f>IF(AND(M$4&gt;=$B5,M$4&lt;=$C5),"■","")</x:f>
        <x:v>■</x:v>
      </x:c>
      <x:c r="N5" s="29" t="str">
        <x:f>IF(AND(N$4&gt;=$B5,N$4&lt;=$C5),"■","")</x:f>
        <x:v>■</x:v>
      </x:c>
      <x:c r="O5" s="29" t="str">
        <x:f>IF(AND(O$4&gt;=$B5,O$4&lt;=$C5),"■","")</x:f>
        <x:v>■</x:v>
      </x:c>
      <x:c r="P5" s="29" t="str">
        <x:f>IF(AND(P$4&gt;=$B5,P$4&lt;=$C5),"■","")</x:f>
        <x:v>■</x:v>
      </x:c>
      <x:c r="Q5" s="29" t="str">
        <x:f>IF(AND(Q$4&gt;=$B5,Q$4&lt;=$C5),"■","")</x:f>
        <x:v>■</x:v>
      </x:c>
      <x:c r="R5" s="29" t="str">
        <x:f>IF(AND(R$4&gt;=$B5,R$4&lt;=$C5),"■","")</x:f>
        <x:v>■</x:v>
      </x:c>
      <x:c r="S5" s="29" t="str">
        <x:f>IF(AND(S$4&gt;=$B5,S$4&lt;=$C5),"■","")</x:f>
        <x:v>■</x:v>
      </x:c>
      <x:c r="T5" s="29" t="str">
        <x:f>IF(AND(T$4&gt;=$B5,T$4&lt;=$C5),"■","")</x:f>
        <x:v>■</x:v>
      </x:c>
      <x:c r="U5" s="29" t="str">
        <x:f>IF(AND(U$4&gt;=$B5,U$4&lt;=$C5),"■","")</x:f>
        <x:v>■</x:v>
      </x:c>
      <x:c r="V5" s="29" t="str">
        <x:f>IF(AND(V$4&gt;=$B5,V$4&lt;=$C5),"■","")</x:f>
        <x:v>■</x:v>
      </x:c>
      <x:c r="W5" s="29" t="str">
        <x:f>IF(AND(W$4&gt;=$B5,W$4&lt;=$C5),"■","")</x:f>
        <x:v>■</x:v>
      </x:c>
    </x:row>
    <x:row r="6" ht="15.600000381469727" hidden="0" customHeight="1">
      <x:c r="A6" s="13" t="str">
        <x:v>Descubrimiento y validación del problema</x:v>
      </x:c>
      <x:c r="B6" s="13" t="n">
        <x:v>1</x:v>
      </x:c>
      <x:c r="C6" s="13" t="n">
        <x:v>2</x:v>
      </x:c>
      <x:c r="D6" s="13" t="str">
        <x:v>Joel López</x:v>
      </x:c>
      <x:c r="E6" s="13" t="str">
        <x:v>Entrevistas, actores, análisis</x:v>
      </x:c>
      <x:c r="F6" s="29" t="str">
        <x:f>IF(AND(F$4&gt;=$B6,F$4&lt;=$C6),"■","")</x:f>
        <x:v>■</x:v>
      </x:c>
      <x:c r="G6" s="29" t="str">
        <x:f>IF(AND(G$4&gt;=$B6,G$4&lt;=$C6),"■","")</x:f>
        <x:v>■</x:v>
      </x:c>
      <x:c r="H6" s="29" t="str">
        <x:f>IF(AND(H$4&gt;=$B6,H$4&lt;=$C6),"■","")</x:f>
      </x:c>
      <x:c r="I6" s="29" t="str">
        <x:f>IF(AND(I$4&gt;=$B6,I$4&lt;=$C6),"■","")</x:f>
      </x:c>
      <x:c r="J6" s="29" t="str">
        <x:f>IF(AND(J$4&gt;=$B6,J$4&lt;=$C6),"■","")</x:f>
      </x:c>
      <x:c r="K6" s="29" t="str">
        <x:f>IF(AND(K$4&gt;=$B6,K$4&lt;=$C6),"■","")</x:f>
      </x:c>
      <x:c r="L6" s="29" t="str">
        <x:f>IF(AND(L$4&gt;=$B6,L$4&lt;=$C6),"■","")</x:f>
      </x:c>
      <x:c r="M6" s="29" t="str">
        <x:f>IF(AND(M$4&gt;=$B6,M$4&lt;=$C6),"■","")</x:f>
      </x:c>
      <x:c r="N6" s="29" t="str">
        <x:f>IF(AND(N$4&gt;=$B6,N$4&lt;=$C6),"■","")</x:f>
      </x:c>
      <x:c r="O6" s="29" t="str">
        <x:f>IF(AND(O$4&gt;=$B6,O$4&lt;=$C6),"■","")</x:f>
      </x:c>
      <x:c r="P6" s="29" t="str">
        <x:f>IF(AND(P$4&gt;=$B6,P$4&lt;=$C6),"■","")</x:f>
      </x:c>
      <x:c r="Q6" s="29" t="str">
        <x:f>IF(AND(Q$4&gt;=$B6,Q$4&lt;=$C6),"■","")</x:f>
      </x:c>
      <x:c r="R6" s="29" t="str">
        <x:f>IF(AND(R$4&gt;=$B6,R$4&lt;=$C6),"■","")</x:f>
      </x:c>
      <x:c r="S6" s="29" t="str">
        <x:f>IF(AND(S$4&gt;=$B6,S$4&lt;=$C6),"■","")</x:f>
      </x:c>
      <x:c r="T6" s="29" t="str">
        <x:f>IF(AND(T$4&gt;=$B6,T$4&lt;=$C6),"■","")</x:f>
      </x:c>
      <x:c r="U6" s="29" t="str">
        <x:f>IF(AND(U$4&gt;=$B6,U$4&lt;=$C6),"■","")</x:f>
      </x:c>
      <x:c r="V6" s="29" t="str">
        <x:f>IF(AND(V$4&gt;=$B6,V$4&lt;=$C6),"■","")</x:f>
      </x:c>
      <x:c r="W6" s="29" t="str">
        <x:f>IF(AND(W$4&gt;=$B6,W$4&lt;=$C6),"■","")</x:f>
      </x:c>
    </x:row>
    <x:row r="7" ht="15.600000381469727" hidden="0" customHeight="1">
      <x:c r="A7" s="13" t="str">
        <x:v>Visión, épicas y Product Backlog</x:v>
      </x:c>
      <x:c r="B7" s="13" t="n">
        <x:v>1</x:v>
      </x:c>
      <x:c r="C7" s="13" t="n">
        <x:v>3</x:v>
      </x:c>
      <x:c r="D7" s="13" t="str">
        <x:v>Equipo</x:v>
      </x:c>
      <x:c r="E7" s="13" t="str">
        <x:v>Product Vision y PB v1</x:v>
      </x:c>
      <x:c r="F7" s="29" t="str">
        <x:f>IF(AND(F$4&gt;=$B7,F$4&lt;=$C7),"■","")</x:f>
        <x:v>■</x:v>
      </x:c>
      <x:c r="G7" s="29" t="str">
        <x:f>IF(AND(G$4&gt;=$B7,G$4&lt;=$C7),"■","")</x:f>
        <x:v>■</x:v>
      </x:c>
      <x:c r="H7" s="29" t="str">
        <x:f>IF(AND(H$4&gt;=$B7,H$4&lt;=$C7),"■","")</x:f>
        <x:v>■</x:v>
      </x:c>
      <x:c r="I7" s="29" t="str">
        <x:f>IF(AND(I$4&gt;=$B7,I$4&lt;=$C7),"■","")</x:f>
      </x:c>
      <x:c r="J7" s="29" t="str">
        <x:f>IF(AND(J$4&gt;=$B7,J$4&lt;=$C7),"■","")</x:f>
      </x:c>
      <x:c r="K7" s="29" t="str">
        <x:f>IF(AND(K$4&gt;=$B7,K$4&lt;=$C7),"■","")</x:f>
      </x:c>
      <x:c r="L7" s="29" t="str">
        <x:f>IF(AND(L$4&gt;=$B7,L$4&lt;=$C7),"■","")</x:f>
      </x:c>
      <x:c r="M7" s="29" t="str">
        <x:f>IF(AND(M$4&gt;=$B7,M$4&lt;=$C7),"■","")</x:f>
      </x:c>
      <x:c r="N7" s="29" t="str">
        <x:f>IF(AND(N$4&gt;=$B7,N$4&lt;=$C7),"■","")</x:f>
      </x:c>
      <x:c r="O7" s="29" t="str">
        <x:f>IF(AND(O$4&gt;=$B7,O$4&lt;=$C7),"■","")</x:f>
      </x:c>
      <x:c r="P7" s="29" t="str">
        <x:f>IF(AND(P$4&gt;=$B7,P$4&lt;=$C7),"■","")</x:f>
      </x:c>
      <x:c r="Q7" s="29" t="str">
        <x:f>IF(AND(Q$4&gt;=$B7,Q$4&lt;=$C7),"■","")</x:f>
      </x:c>
      <x:c r="R7" s="29" t="str">
        <x:f>IF(AND(R$4&gt;=$B7,R$4&lt;=$C7),"■","")</x:f>
      </x:c>
      <x:c r="S7" s="29" t="str">
        <x:f>IF(AND(S$4&gt;=$B7,S$4&lt;=$C7),"■","")</x:f>
      </x:c>
      <x:c r="T7" s="29" t="str">
        <x:f>IF(AND(T$4&gt;=$B7,T$4&lt;=$C7),"■","")</x:f>
      </x:c>
      <x:c r="U7" s="29" t="str">
        <x:f>IF(AND(U$4&gt;=$B7,U$4&lt;=$C7),"■","")</x:f>
      </x:c>
      <x:c r="V7" s="29" t="str">
        <x:f>IF(AND(V$4&gt;=$B7,V$4&lt;=$C7),"■","")</x:f>
      </x:c>
      <x:c r="W7" s="29" t="str">
        <x:f>IF(AND(W$4&gt;=$B7,W$4&lt;=$C7),"■","")</x:f>
      </x:c>
    </x:row>
    <x:row r="8" ht="15.600000381469727" hidden="0" customHeight="1">
      <x:c r="A8" s="13" t="str">
        <x:v>Definición formal Fase 1</x:v>
      </x:c>
      <x:c r="B8" s="13" t="n">
        <x:v>1</x:v>
      </x:c>
      <x:c r="C8" s="13" t="n">
        <x:v>4</x:v>
      </x:c>
      <x:c r="D8" s="13" t="str">
        <x:v>Joel López</x:v>
      </x:c>
      <x:c r="E8" s="13" t="str">
        <x:v>Documento 1.5 y presentación</x:v>
      </x:c>
      <x:c r="F8" s="29" t="str">
        <x:f>IF(AND(F$4&gt;=$B8,F$4&lt;=$C8),"■","")</x:f>
        <x:v>■</x:v>
      </x:c>
      <x:c r="G8" s="29" t="str">
        <x:f>IF(AND(G$4&gt;=$B8,G$4&lt;=$C8),"■","")</x:f>
        <x:v>■</x:v>
      </x:c>
      <x:c r="H8" s="29" t="str">
        <x:f>IF(AND(H$4&gt;=$B8,H$4&lt;=$C8),"■","")</x:f>
        <x:v>■</x:v>
      </x:c>
      <x:c r="I8" s="29" t="str">
        <x:f>IF(AND(I$4&gt;=$B8,I$4&lt;=$C8),"■","")</x:f>
        <x:v>■</x:v>
      </x:c>
      <x:c r="J8" s="29" t="str">
        <x:f>IF(AND(J$4&gt;=$B8,J$4&lt;=$C8),"■","")</x:f>
      </x:c>
      <x:c r="K8" s="29" t="str">
        <x:f>IF(AND(K$4&gt;=$B8,K$4&lt;=$C8),"■","")</x:f>
      </x:c>
      <x:c r="L8" s="29" t="str">
        <x:f>IF(AND(L$4&gt;=$B8,L$4&lt;=$C8),"■","")</x:f>
      </x:c>
      <x:c r="M8" s="29" t="str">
        <x:f>IF(AND(M$4&gt;=$B8,M$4&lt;=$C8),"■","")</x:f>
      </x:c>
      <x:c r="N8" s="29" t="str">
        <x:f>IF(AND(N$4&gt;=$B8,N$4&lt;=$C8),"■","")</x:f>
      </x:c>
      <x:c r="O8" s="29" t="str">
        <x:f>IF(AND(O$4&gt;=$B8,O$4&lt;=$C8),"■","")</x:f>
      </x:c>
      <x:c r="P8" s="29" t="str">
        <x:f>IF(AND(P$4&gt;=$B8,P$4&lt;=$C8),"■","")</x:f>
      </x:c>
      <x:c r="Q8" s="29" t="str">
        <x:f>IF(AND(Q$4&gt;=$B8,Q$4&lt;=$C8),"■","")</x:f>
      </x:c>
      <x:c r="R8" s="29" t="str">
        <x:f>IF(AND(R$4&gt;=$B8,R$4&lt;=$C8),"■","")</x:f>
      </x:c>
      <x:c r="S8" s="29" t="str">
        <x:f>IF(AND(S$4&gt;=$B8,S$4&lt;=$C8),"■","")</x:f>
      </x:c>
      <x:c r="T8" s="29" t="str">
        <x:f>IF(AND(T$4&gt;=$B8,T$4&lt;=$C8),"■","")</x:f>
      </x:c>
      <x:c r="U8" s="29" t="str">
        <x:f>IF(AND(U$4&gt;=$B8,U$4&lt;=$C8),"■","")</x:f>
      </x:c>
      <x:c r="V8" s="29" t="str">
        <x:f>IF(AND(V$4&gt;=$B8,V$4&lt;=$C8),"■","")</x:f>
      </x:c>
      <x:c r="W8" s="29" t="str">
        <x:f>IF(AND(W$4&gt;=$B8,W$4&lt;=$C8),"■","")</x:f>
      </x:c>
    </x:row>
    <x:row r="9" ht="15.600000381469727" hidden="0" customHeight="1">
      <x:c r="A9" s="13" t="str">
        <x:v>Arquitectura, ER y UML base</x:v>
      </x:c>
      <x:c r="B9" s="13" t="n">
        <x:v>3</x:v>
      </x:c>
      <x:c r="C9" s="13" t="n">
        <x:v>6</x:v>
      </x:c>
      <x:c r="D9" s="13" t="str">
        <x:v>Joel / Matías</x:v>
      </x:c>
      <x:c r="E9" s="13" t="str">
        <x:v>Documento de diseño</x:v>
      </x:c>
      <x:c r="F9" s="29" t="str">
        <x:f>IF(AND(F$4&gt;=$B9,F$4&lt;=$C9),"■","")</x:f>
      </x:c>
      <x:c r="G9" s="29" t="str">
        <x:f>IF(AND(G$4&gt;=$B9,G$4&lt;=$C9),"■","")</x:f>
      </x:c>
      <x:c r="H9" s="29" t="str">
        <x:f>IF(AND(H$4&gt;=$B9,H$4&lt;=$C9),"■","")</x:f>
        <x:v>■</x:v>
      </x:c>
      <x:c r="I9" s="29" t="str">
        <x:f>IF(AND(I$4&gt;=$B9,I$4&lt;=$C9),"■","")</x:f>
        <x:v>■</x:v>
      </x:c>
      <x:c r="J9" s="29" t="str">
        <x:f>IF(AND(J$4&gt;=$B9,J$4&lt;=$C9),"■","")</x:f>
        <x:v>■</x:v>
      </x:c>
      <x:c r="K9" s="29" t="str">
        <x:f>IF(AND(K$4&gt;=$B9,K$4&lt;=$C9),"■","")</x:f>
        <x:v>■</x:v>
      </x:c>
      <x:c r="L9" s="29" t="str">
        <x:f>IF(AND(L$4&gt;=$B9,L$4&lt;=$C9),"■","")</x:f>
      </x:c>
      <x:c r="M9" s="29" t="str">
        <x:f>IF(AND(M$4&gt;=$B9,M$4&lt;=$C9),"■","")</x:f>
      </x:c>
      <x:c r="N9" s="29" t="str">
        <x:f>IF(AND(N$4&gt;=$B9,N$4&lt;=$C9),"■","")</x:f>
      </x:c>
      <x:c r="O9" s="29" t="str">
        <x:f>IF(AND(O$4&gt;=$B9,O$4&lt;=$C9),"■","")</x:f>
      </x:c>
      <x:c r="P9" s="29" t="str">
        <x:f>IF(AND(P$4&gt;=$B9,P$4&lt;=$C9),"■","")</x:f>
      </x:c>
      <x:c r="Q9" s="29" t="str">
        <x:f>IF(AND(Q$4&gt;=$B9,Q$4&lt;=$C9),"■","")</x:f>
      </x:c>
      <x:c r="R9" s="29" t="str">
        <x:f>IF(AND(R$4&gt;=$B9,R$4&lt;=$C9),"■","")</x:f>
      </x:c>
      <x:c r="S9" s="29" t="str">
        <x:f>IF(AND(S$4&gt;=$B9,S$4&lt;=$C9),"■","")</x:f>
      </x:c>
      <x:c r="T9" s="29" t="str">
        <x:f>IF(AND(T$4&gt;=$B9,T$4&lt;=$C9),"■","")</x:f>
      </x:c>
      <x:c r="U9" s="29" t="str">
        <x:f>IF(AND(U$4&gt;=$B9,U$4&lt;=$C9),"■","")</x:f>
      </x:c>
      <x:c r="V9" s="29" t="str">
        <x:f>IF(AND(V$4&gt;=$B9,V$4&lt;=$C9),"■","")</x:f>
      </x:c>
      <x:c r="W9" s="29" t="str">
        <x:f>IF(AND(W$4&gt;=$B9,W$4&lt;=$C9),"■","")</x:f>
      </x:c>
    </x:row>
    <x:row r="10" ht="15.600000381469727" hidden="0" customHeight="1">
      <x:c r="A10" s="13" t="str">
        <x:v>Prototipo y validación UX</x:v>
      </x:c>
      <x:c r="B10" s="13" t="n">
        <x:v>3</x:v>
      </x:c>
      <x:c r="C10" s="13" t="n">
        <x:v>4</x:v>
      </x:c>
      <x:c r="D10" s="13" t="str">
        <x:v>Agustín Sorolla</x:v>
      </x:c>
      <x:c r="E10" s="13" t="str">
        <x:v>Prototipo navegable</x:v>
      </x:c>
      <x:c r="F10" s="29" t="str">
        <x:f>IF(AND(F$4&gt;=$B10,F$4&lt;=$C10),"■","")</x:f>
      </x:c>
      <x:c r="G10" s="29" t="str">
        <x:f>IF(AND(G$4&gt;=$B10,G$4&lt;=$C10),"■","")</x:f>
      </x:c>
      <x:c r="H10" s="29" t="str">
        <x:f>IF(AND(H$4&gt;=$B10,H$4&lt;=$C10),"■","")</x:f>
        <x:v>■</x:v>
      </x:c>
      <x:c r="I10" s="29" t="str">
        <x:f>IF(AND(I$4&gt;=$B10,I$4&lt;=$C10),"■","")</x:f>
        <x:v>■</x:v>
      </x:c>
      <x:c r="J10" s="29" t="str">
        <x:f>IF(AND(J$4&gt;=$B10,J$4&lt;=$C10),"■","")</x:f>
      </x:c>
      <x:c r="K10" s="29" t="str">
        <x:f>IF(AND(K$4&gt;=$B10,K$4&lt;=$C10),"■","")</x:f>
      </x:c>
      <x:c r="L10" s="29" t="str">
        <x:f>IF(AND(L$4&gt;=$B10,L$4&lt;=$C10),"■","")</x:f>
      </x:c>
      <x:c r="M10" s="29" t="str">
        <x:f>IF(AND(M$4&gt;=$B10,M$4&lt;=$C10),"■","")</x:f>
      </x:c>
      <x:c r="N10" s="29" t="str">
        <x:f>IF(AND(N$4&gt;=$B10,N$4&lt;=$C10),"■","")</x:f>
      </x:c>
      <x:c r="O10" s="29" t="str">
        <x:f>IF(AND(O$4&gt;=$B10,O$4&lt;=$C10),"■","")</x:f>
      </x:c>
      <x:c r="P10" s="29" t="str">
        <x:f>IF(AND(P$4&gt;=$B10,P$4&lt;=$C10),"■","")</x:f>
      </x:c>
      <x:c r="Q10" s="29" t="str">
        <x:f>IF(AND(Q$4&gt;=$B10,Q$4&lt;=$C10),"■","")</x:f>
      </x:c>
      <x:c r="R10" s="29" t="str">
        <x:f>IF(AND(R$4&gt;=$B10,R$4&lt;=$C10),"■","")</x:f>
      </x:c>
      <x:c r="S10" s="29" t="str">
        <x:f>IF(AND(S$4&gt;=$B10,S$4&lt;=$C10),"■","")</x:f>
      </x:c>
      <x:c r="T10" s="29" t="str">
        <x:f>IF(AND(T$4&gt;=$B10,T$4&lt;=$C10),"■","")</x:f>
      </x:c>
      <x:c r="U10" s="29" t="str">
        <x:f>IF(AND(U$4&gt;=$B10,U$4&lt;=$C10),"■","")</x:f>
      </x:c>
      <x:c r="V10" s="29" t="str">
        <x:f>IF(AND(V$4&gt;=$B10,V$4&lt;=$C10),"■","")</x:f>
      </x:c>
      <x:c r="W10" s="29" t="str">
        <x:f>IF(AND(W$4&gt;=$B10,W$4&lt;=$C10),"■","")</x:f>
      </x:c>
    </x:row>
    <x:row r="11" ht="15.600000381469727" hidden="0" customHeight="1">
      <x:c r="A11" s="13" t="str">
        <x:v>Autenticación, RBAC y DevOps</x:v>
      </x:c>
      <x:c r="B11" s="13" t="n">
        <x:v>5</x:v>
      </x:c>
      <x:c r="C11" s="13" t="n">
        <x:v>6</x:v>
      </x:c>
      <x:c r="D11" s="13" t="str">
        <x:v>Equipo</x:v>
      </x:c>
      <x:c r="E11" s="13" t="str">
        <x:v>Incremento Sprint 2</x:v>
      </x:c>
      <x:c r="F11" s="29" t="str">
        <x:f>IF(AND(F$4&gt;=$B11,F$4&lt;=$C11),"■","")</x:f>
      </x:c>
      <x:c r="G11" s="29" t="str">
        <x:f>IF(AND(G$4&gt;=$B11,G$4&lt;=$C11),"■","")</x:f>
      </x:c>
      <x:c r="H11" s="29" t="str">
        <x:f>IF(AND(H$4&gt;=$B11,H$4&lt;=$C11),"■","")</x:f>
      </x:c>
      <x:c r="I11" s="29" t="str">
        <x:f>IF(AND(I$4&gt;=$B11,I$4&lt;=$C11),"■","")</x:f>
      </x:c>
      <x:c r="J11" s="29" t="str">
        <x:f>IF(AND(J$4&gt;=$B11,J$4&lt;=$C11),"■","")</x:f>
        <x:v>■</x:v>
      </x:c>
      <x:c r="K11" s="29" t="str">
        <x:f>IF(AND(K$4&gt;=$B11,K$4&lt;=$C11),"■","")</x:f>
        <x:v>■</x:v>
      </x:c>
      <x:c r="L11" s="29" t="str">
        <x:f>IF(AND(L$4&gt;=$B11,L$4&lt;=$C11),"■","")</x:f>
      </x:c>
      <x:c r="M11" s="29" t="str">
        <x:f>IF(AND(M$4&gt;=$B11,M$4&lt;=$C11),"■","")</x:f>
      </x:c>
      <x:c r="N11" s="29" t="str">
        <x:f>IF(AND(N$4&gt;=$B11,N$4&lt;=$C11),"■","")</x:f>
      </x:c>
      <x:c r="O11" s="29" t="str">
        <x:f>IF(AND(O$4&gt;=$B11,O$4&lt;=$C11),"■","")</x:f>
      </x:c>
      <x:c r="P11" s="29" t="str">
        <x:f>IF(AND(P$4&gt;=$B11,P$4&lt;=$C11),"■","")</x:f>
      </x:c>
      <x:c r="Q11" s="29" t="str">
        <x:f>IF(AND(Q$4&gt;=$B11,Q$4&lt;=$C11),"■","")</x:f>
      </x:c>
      <x:c r="R11" s="29" t="str">
        <x:f>IF(AND(R$4&gt;=$B11,R$4&lt;=$C11),"■","")</x:f>
      </x:c>
      <x:c r="S11" s="29" t="str">
        <x:f>IF(AND(S$4&gt;=$B11,S$4&lt;=$C11),"■","")</x:f>
      </x:c>
      <x:c r="T11" s="29" t="str">
        <x:f>IF(AND(T$4&gt;=$B11,T$4&lt;=$C11),"■","")</x:f>
      </x:c>
      <x:c r="U11" s="29" t="str">
        <x:f>IF(AND(U$4&gt;=$B11,U$4&lt;=$C11),"■","")</x:f>
      </x:c>
      <x:c r="V11" s="29" t="str">
        <x:f>IF(AND(V$4&gt;=$B11,V$4&lt;=$C11),"■","")</x:f>
      </x:c>
      <x:c r="W11" s="29" t="str">
        <x:f>IF(AND(W$4&gt;=$B11,W$4&lt;=$C11),"■","")</x:f>
      </x:c>
    </x:row>
    <x:row r="12" ht="15.600000381469727" hidden="0" customHeight="1">
      <x:c r="A12" s="13" t="str">
        <x:v>Catálogos académicos</x:v>
      </x:c>
      <x:c r="B12" s="13" t="n">
        <x:v>5</x:v>
      </x:c>
      <x:c r="C12" s="13" t="n">
        <x:v>6</x:v>
      </x:c>
      <x:c r="D12" s="13" t="str">
        <x:v>Matías Martínez</x:v>
      </x:c>
      <x:c r="E12" s="13" t="str">
        <x:v>Incremento Sprint 2</x:v>
      </x:c>
      <x:c r="F12" s="29" t="str">
        <x:f>IF(AND(F$4&gt;=$B12,F$4&lt;=$C12),"■","")</x:f>
      </x:c>
      <x:c r="G12" s="29" t="str">
        <x:f>IF(AND(G$4&gt;=$B12,G$4&lt;=$C12),"■","")</x:f>
      </x:c>
      <x:c r="H12" s="29" t="str">
        <x:f>IF(AND(H$4&gt;=$B12,H$4&lt;=$C12),"■","")</x:f>
      </x:c>
      <x:c r="I12" s="29" t="str">
        <x:f>IF(AND(I$4&gt;=$B12,I$4&lt;=$C12),"■","")</x:f>
      </x:c>
      <x:c r="J12" s="29" t="str">
        <x:f>IF(AND(J$4&gt;=$B12,J$4&lt;=$C12),"■","")</x:f>
        <x:v>■</x:v>
      </x:c>
      <x:c r="K12" s="29" t="str">
        <x:f>IF(AND(K$4&gt;=$B12,K$4&lt;=$C12),"■","")</x:f>
        <x:v>■</x:v>
      </x:c>
      <x:c r="L12" s="29" t="str">
        <x:f>IF(AND(L$4&gt;=$B12,L$4&lt;=$C12),"■","")</x:f>
      </x:c>
      <x:c r="M12" s="29" t="str">
        <x:f>IF(AND(M$4&gt;=$B12,M$4&lt;=$C12),"■","")</x:f>
      </x:c>
      <x:c r="N12" s="29" t="str">
        <x:f>IF(AND(N$4&gt;=$B12,N$4&lt;=$C12),"■","")</x:f>
      </x:c>
      <x:c r="O12" s="29" t="str">
        <x:f>IF(AND(O$4&gt;=$B12,O$4&lt;=$C12),"■","")</x:f>
      </x:c>
      <x:c r="P12" s="29" t="str">
        <x:f>IF(AND(P$4&gt;=$B12,P$4&lt;=$C12),"■","")</x:f>
      </x:c>
      <x:c r="Q12" s="29" t="str">
        <x:f>IF(AND(Q$4&gt;=$B12,Q$4&lt;=$C12),"■","")</x:f>
      </x:c>
      <x:c r="R12" s="29" t="str">
        <x:f>IF(AND(R$4&gt;=$B12,R$4&lt;=$C12),"■","")</x:f>
      </x:c>
      <x:c r="S12" s="29" t="str">
        <x:f>IF(AND(S$4&gt;=$B12,S$4&lt;=$C12),"■","")</x:f>
      </x:c>
      <x:c r="T12" s="29" t="str">
        <x:f>IF(AND(T$4&gt;=$B12,T$4&lt;=$C12),"■","")</x:f>
      </x:c>
      <x:c r="U12" s="29" t="str">
        <x:f>IF(AND(U$4&gt;=$B12,U$4&lt;=$C12),"■","")</x:f>
      </x:c>
      <x:c r="V12" s="29" t="str">
        <x:f>IF(AND(V$4&gt;=$B12,V$4&lt;=$C12),"■","")</x:f>
      </x:c>
      <x:c r="W12" s="29" t="str">
        <x:f>IF(AND(W$4&gt;=$B12,W$4&lt;=$C12),"■","")</x:f>
      </x:c>
    </x:row>
    <x:row r="13" ht="15.600000381469727" hidden="0" customHeight="1">
      <x:c r="A13" s="13" t="str">
        <x:v>Estudiantes y matrículas</x:v>
      </x:c>
      <x:c r="B13" s="13" t="n">
        <x:v>7</x:v>
      </x:c>
      <x:c r="C13" s="13" t="n">
        <x:v>8</x:v>
      </x:c>
      <x:c r="D13" s="13" t="str">
        <x:v>Equipo</x:v>
      </x:c>
      <x:c r="E13" s="13" t="str">
        <x:v>Incremento Sprint 3</x:v>
      </x:c>
      <x:c r="F13" s="29" t="str">
        <x:f>IF(AND(F$4&gt;=$B13,F$4&lt;=$C13),"■","")</x:f>
      </x:c>
      <x:c r="G13" s="29" t="str">
        <x:f>IF(AND(G$4&gt;=$B13,G$4&lt;=$C13),"■","")</x:f>
      </x:c>
      <x:c r="H13" s="29" t="str">
        <x:f>IF(AND(H$4&gt;=$B13,H$4&lt;=$C13),"■","")</x:f>
      </x:c>
      <x:c r="I13" s="29" t="str">
        <x:f>IF(AND(I$4&gt;=$B13,I$4&lt;=$C13),"■","")</x:f>
      </x:c>
      <x:c r="J13" s="29" t="str">
        <x:f>IF(AND(J$4&gt;=$B13,J$4&lt;=$C13),"■","")</x:f>
      </x:c>
      <x:c r="K13" s="29" t="str">
        <x:f>IF(AND(K$4&gt;=$B13,K$4&lt;=$C13),"■","")</x:f>
      </x:c>
      <x:c r="L13" s="29" t="str">
        <x:f>IF(AND(L$4&gt;=$B13,L$4&lt;=$C13),"■","")</x:f>
        <x:v>■</x:v>
      </x:c>
      <x:c r="M13" s="29" t="str">
        <x:f>IF(AND(M$4&gt;=$B13,M$4&lt;=$C13),"■","")</x:f>
        <x:v>■</x:v>
      </x:c>
      <x:c r="N13" s="29" t="str">
        <x:f>IF(AND(N$4&gt;=$B13,N$4&lt;=$C13),"■","")</x:f>
      </x:c>
      <x:c r="O13" s="29" t="str">
        <x:f>IF(AND(O$4&gt;=$B13,O$4&lt;=$C13),"■","")</x:f>
      </x:c>
      <x:c r="P13" s="29" t="str">
        <x:f>IF(AND(P$4&gt;=$B13,P$4&lt;=$C13),"■","")</x:f>
      </x:c>
      <x:c r="Q13" s="29" t="str">
        <x:f>IF(AND(Q$4&gt;=$B13,Q$4&lt;=$C13),"■","")</x:f>
      </x:c>
      <x:c r="R13" s="29" t="str">
        <x:f>IF(AND(R$4&gt;=$B13,R$4&lt;=$C13),"■","")</x:f>
      </x:c>
      <x:c r="S13" s="29" t="str">
        <x:f>IF(AND(S$4&gt;=$B13,S$4&lt;=$C13),"■","")</x:f>
      </x:c>
      <x:c r="T13" s="29" t="str">
        <x:f>IF(AND(T$4&gt;=$B13,T$4&lt;=$C13),"■","")</x:f>
      </x:c>
      <x:c r="U13" s="29" t="str">
        <x:f>IF(AND(U$4&gt;=$B13,U$4&lt;=$C13),"■","")</x:f>
      </x:c>
      <x:c r="V13" s="29" t="str">
        <x:f>IF(AND(V$4&gt;=$B13,V$4&lt;=$C13),"■","")</x:f>
      </x:c>
      <x:c r="W13" s="29" t="str">
        <x:f>IF(AND(W$4&gt;=$B13,W$4&lt;=$C13),"■","")</x:f>
      </x:c>
    </x:row>
    <x:row r="14" ht="15.600000381469727" hidden="0" customHeight="1">
      <x:c r="A14" s="13" t="str">
        <x:v>Calificaciones</x:v>
      </x:c>
      <x:c r="B14" s="13" t="n">
        <x:v>7</x:v>
      </x:c>
      <x:c r="C14" s="13" t="n">
        <x:v>8</x:v>
      </x:c>
      <x:c r="D14" s="13" t="str">
        <x:v>Agustín Sorolla</x:v>
      </x:c>
      <x:c r="E14" s="13" t="str">
        <x:v>Incremento Sprint 3</x:v>
      </x:c>
      <x:c r="F14" s="29" t="str">
        <x:f>IF(AND(F$4&gt;=$B14,F$4&lt;=$C14),"■","")</x:f>
      </x:c>
      <x:c r="G14" s="29" t="str">
        <x:f>IF(AND(G$4&gt;=$B14,G$4&lt;=$C14),"■","")</x:f>
      </x:c>
      <x:c r="H14" s="29" t="str">
        <x:f>IF(AND(H$4&gt;=$B14,H$4&lt;=$C14),"■","")</x:f>
      </x:c>
      <x:c r="I14" s="29" t="str">
        <x:f>IF(AND(I$4&gt;=$B14,I$4&lt;=$C14),"■","")</x:f>
      </x:c>
      <x:c r="J14" s="29" t="str">
        <x:f>IF(AND(J$4&gt;=$B14,J$4&lt;=$C14),"■","")</x:f>
      </x:c>
      <x:c r="K14" s="29" t="str">
        <x:f>IF(AND(K$4&gt;=$B14,K$4&lt;=$C14),"■","")</x:f>
      </x:c>
      <x:c r="L14" s="29" t="str">
        <x:f>IF(AND(L$4&gt;=$B14,L$4&lt;=$C14),"■","")</x:f>
        <x:v>■</x:v>
      </x:c>
      <x:c r="M14" s="29" t="str">
        <x:f>IF(AND(M$4&gt;=$B14,M$4&lt;=$C14),"■","")</x:f>
        <x:v>■</x:v>
      </x:c>
      <x:c r="N14" s="29" t="str">
        <x:f>IF(AND(N$4&gt;=$B14,N$4&lt;=$C14),"■","")</x:f>
      </x:c>
      <x:c r="O14" s="29" t="str">
        <x:f>IF(AND(O$4&gt;=$B14,O$4&lt;=$C14),"■","")</x:f>
      </x:c>
      <x:c r="P14" s="29" t="str">
        <x:f>IF(AND(P$4&gt;=$B14,P$4&lt;=$C14),"■","")</x:f>
      </x:c>
      <x:c r="Q14" s="29" t="str">
        <x:f>IF(AND(Q$4&gt;=$B14,Q$4&lt;=$C14),"■","")</x:f>
      </x:c>
      <x:c r="R14" s="29" t="str">
        <x:f>IF(AND(R$4&gt;=$B14,R$4&lt;=$C14),"■","")</x:f>
      </x:c>
      <x:c r="S14" s="29" t="str">
        <x:f>IF(AND(S$4&gt;=$B14,S$4&lt;=$C14),"■","")</x:f>
      </x:c>
      <x:c r="T14" s="29" t="str">
        <x:f>IF(AND(T$4&gt;=$B14,T$4&lt;=$C14),"■","")</x:f>
      </x:c>
      <x:c r="U14" s="29" t="str">
        <x:f>IF(AND(U$4&gt;=$B14,U$4&lt;=$C14),"■","")</x:f>
      </x:c>
      <x:c r="V14" s="29" t="str">
        <x:f>IF(AND(V$4&gt;=$B14,V$4&lt;=$C14),"■","")</x:f>
      </x:c>
      <x:c r="W14" s="29" t="str">
        <x:f>IF(AND(W$4&gt;=$B14,W$4&lt;=$C14),"■","")</x:f>
      </x:c>
    </x:row>
    <x:row r="15" ht="15.600000381469727" hidden="0" customHeight="1">
      <x:c r="A15" s="13" t="str">
        <x:v>Asistencia</x:v>
      </x:c>
      <x:c r="B15" s="13" t="n">
        <x:v>9</x:v>
      </x:c>
      <x:c r="C15" s="13" t="n">
        <x:v>10</x:v>
      </x:c>
      <x:c r="D15" s="13" t="str">
        <x:v>Agustín Sorolla</x:v>
      </x:c>
      <x:c r="E15" s="13" t="str">
        <x:v>Incremento Sprint 4</x:v>
      </x:c>
      <x:c r="F15" s="29" t="str">
        <x:f>IF(AND(F$4&gt;=$B15,F$4&lt;=$C15),"■","")</x:f>
      </x:c>
      <x:c r="G15" s="29" t="str">
        <x:f>IF(AND(G$4&gt;=$B15,G$4&lt;=$C15),"■","")</x:f>
      </x:c>
      <x:c r="H15" s="29" t="str">
        <x:f>IF(AND(H$4&gt;=$B15,H$4&lt;=$C15),"■","")</x:f>
      </x:c>
      <x:c r="I15" s="29" t="str">
        <x:f>IF(AND(I$4&gt;=$B15,I$4&lt;=$C15),"■","")</x:f>
      </x:c>
      <x:c r="J15" s="29" t="str">
        <x:f>IF(AND(J$4&gt;=$B15,J$4&lt;=$C15),"■","")</x:f>
      </x:c>
      <x:c r="K15" s="29" t="str">
        <x:f>IF(AND(K$4&gt;=$B15,K$4&lt;=$C15),"■","")</x:f>
      </x:c>
      <x:c r="L15" s="29" t="str">
        <x:f>IF(AND(L$4&gt;=$B15,L$4&lt;=$C15),"■","")</x:f>
      </x:c>
      <x:c r="M15" s="29" t="str">
        <x:f>IF(AND(M$4&gt;=$B15,M$4&lt;=$C15),"■","")</x:f>
      </x:c>
      <x:c r="N15" s="29" t="str">
        <x:f>IF(AND(N$4&gt;=$B15,N$4&lt;=$C15),"■","")</x:f>
        <x:v>■</x:v>
      </x:c>
      <x:c r="O15" s="29" t="str">
        <x:f>IF(AND(O$4&gt;=$B15,O$4&lt;=$C15),"■","")</x:f>
        <x:v>■</x:v>
      </x:c>
      <x:c r="P15" s="29" t="str">
        <x:f>IF(AND(P$4&gt;=$B15,P$4&lt;=$C15),"■","")</x:f>
      </x:c>
      <x:c r="Q15" s="29" t="str">
        <x:f>IF(AND(Q$4&gt;=$B15,Q$4&lt;=$C15),"■","")</x:f>
      </x:c>
      <x:c r="R15" s="29" t="str">
        <x:f>IF(AND(R$4&gt;=$B15,R$4&lt;=$C15),"■","")</x:f>
      </x:c>
      <x:c r="S15" s="29" t="str">
        <x:f>IF(AND(S$4&gt;=$B15,S$4&lt;=$C15),"■","")</x:f>
      </x:c>
      <x:c r="T15" s="29" t="str">
        <x:f>IF(AND(T$4&gt;=$B15,T$4&lt;=$C15),"■","")</x:f>
      </x:c>
      <x:c r="U15" s="29" t="str">
        <x:f>IF(AND(U$4&gt;=$B15,U$4&lt;=$C15),"■","")</x:f>
      </x:c>
      <x:c r="V15" s="29" t="str">
        <x:f>IF(AND(V$4&gt;=$B15,V$4&lt;=$C15),"■","")</x:f>
      </x:c>
      <x:c r="W15" s="29" t="str">
        <x:f>IF(AND(W$4&gt;=$B15,W$4&lt;=$C15),"■","")</x:f>
      </x:c>
    </x:row>
    <x:row r="16" ht="15.600000381469727" hidden="0" customHeight="1">
      <x:c r="A16" s="13" t="str">
        <x:v>Motor de alertas v1</x:v>
      </x:c>
      <x:c r="B16" s="13" t="n">
        <x:v>9</x:v>
      </x:c>
      <x:c r="C16" s="13" t="n">
        <x:v>10</x:v>
      </x:c>
      <x:c r="D16" s="13" t="str">
        <x:v>Joel López</x:v>
      </x:c>
      <x:c r="E16" s="13" t="str">
        <x:v>Incremento Sprint 4</x:v>
      </x:c>
      <x:c r="F16" s="29" t="str">
        <x:f>IF(AND(F$4&gt;=$B16,F$4&lt;=$C16),"■","")</x:f>
      </x:c>
      <x:c r="G16" s="29" t="str">
        <x:f>IF(AND(G$4&gt;=$B16,G$4&lt;=$C16),"■","")</x:f>
      </x:c>
      <x:c r="H16" s="29" t="str">
        <x:f>IF(AND(H$4&gt;=$B16,H$4&lt;=$C16),"■","")</x:f>
      </x:c>
      <x:c r="I16" s="29" t="str">
        <x:f>IF(AND(I$4&gt;=$B16,I$4&lt;=$C16),"■","")</x:f>
      </x:c>
      <x:c r="J16" s="29" t="str">
        <x:f>IF(AND(J$4&gt;=$B16,J$4&lt;=$C16),"■","")</x:f>
      </x:c>
      <x:c r="K16" s="29" t="str">
        <x:f>IF(AND(K$4&gt;=$B16,K$4&lt;=$C16),"■","")</x:f>
      </x:c>
      <x:c r="L16" s="29" t="str">
        <x:f>IF(AND(L$4&gt;=$B16,L$4&lt;=$C16),"■","")</x:f>
      </x:c>
      <x:c r="M16" s="29" t="str">
        <x:f>IF(AND(M$4&gt;=$B16,M$4&lt;=$C16),"■","")</x:f>
      </x:c>
      <x:c r="N16" s="29" t="str">
        <x:f>IF(AND(N$4&gt;=$B16,N$4&lt;=$C16),"■","")</x:f>
        <x:v>■</x:v>
      </x:c>
      <x:c r="O16" s="29" t="str">
        <x:f>IF(AND(O$4&gt;=$B16,O$4&lt;=$C16),"■","")</x:f>
        <x:v>■</x:v>
      </x:c>
      <x:c r="P16" s="29" t="str">
        <x:f>IF(AND(P$4&gt;=$B16,P$4&lt;=$C16),"■","")</x:f>
      </x:c>
      <x:c r="Q16" s="29" t="str">
        <x:f>IF(AND(Q$4&gt;=$B16,Q$4&lt;=$C16),"■","")</x:f>
      </x:c>
      <x:c r="R16" s="29" t="str">
        <x:f>IF(AND(R$4&gt;=$B16,R$4&lt;=$C16),"■","")</x:f>
      </x:c>
      <x:c r="S16" s="29" t="str">
        <x:f>IF(AND(S$4&gt;=$B16,S$4&lt;=$C16),"■","")</x:f>
      </x:c>
      <x:c r="T16" s="29" t="str">
        <x:f>IF(AND(T$4&gt;=$B16,T$4&lt;=$C16),"■","")</x:f>
      </x:c>
      <x:c r="U16" s="29" t="str">
        <x:f>IF(AND(U$4&gt;=$B16,U$4&lt;=$C16),"■","")</x:f>
      </x:c>
      <x:c r="V16" s="29" t="str">
        <x:f>IF(AND(V$4&gt;=$B16,V$4&lt;=$C16),"■","")</x:f>
      </x:c>
      <x:c r="W16" s="29" t="str">
        <x:f>IF(AND(W$4&gt;=$B16,W$4&lt;=$C16),"■","")</x:f>
      </x:c>
    </x:row>
    <x:row r="17" ht="15.600000381469727" hidden="0" customHeight="1">
      <x:c r="A17" s="13" t="str">
        <x:v>Informe avance Fase 2</x:v>
      </x:c>
      <x:c r="B17" s="13" t="n">
        <x:v>9</x:v>
      </x:c>
      <x:c r="C17" s="13" t="n">
        <x:v>10</x:v>
      </x:c>
      <x:c r="D17" s="13" t="str">
        <x:v>Matías Martínez</x:v>
      </x:c>
      <x:c r="E17" s="13" t="str">
        <x:v>Entrega semana 10</x:v>
      </x:c>
      <x:c r="F17" s="29" t="str">
        <x:f>IF(AND(F$4&gt;=$B17,F$4&lt;=$C17),"■","")</x:f>
      </x:c>
      <x:c r="G17" s="29" t="str">
        <x:f>IF(AND(G$4&gt;=$B17,G$4&lt;=$C17),"■","")</x:f>
      </x:c>
      <x:c r="H17" s="29" t="str">
        <x:f>IF(AND(H$4&gt;=$B17,H$4&lt;=$C17),"■","")</x:f>
      </x:c>
      <x:c r="I17" s="29" t="str">
        <x:f>IF(AND(I$4&gt;=$B17,I$4&lt;=$C17),"■","")</x:f>
      </x:c>
      <x:c r="J17" s="29" t="str">
        <x:f>IF(AND(J$4&gt;=$B17,J$4&lt;=$C17),"■","")</x:f>
      </x:c>
      <x:c r="K17" s="29" t="str">
        <x:f>IF(AND(K$4&gt;=$B17,K$4&lt;=$C17),"■","")</x:f>
      </x:c>
      <x:c r="L17" s="29" t="str">
        <x:f>IF(AND(L$4&gt;=$B17,L$4&lt;=$C17),"■","")</x:f>
      </x:c>
      <x:c r="M17" s="29" t="str">
        <x:f>IF(AND(M$4&gt;=$B17,M$4&lt;=$C17),"■","")</x:f>
      </x:c>
      <x:c r="N17" s="29" t="str">
        <x:f>IF(AND(N$4&gt;=$B17,N$4&lt;=$C17),"■","")</x:f>
        <x:v>■</x:v>
      </x:c>
      <x:c r="O17" s="29" t="str">
        <x:f>IF(AND(O$4&gt;=$B17,O$4&lt;=$C17),"■","")</x:f>
        <x:v>■</x:v>
      </x:c>
      <x:c r="P17" s="29" t="str">
        <x:f>IF(AND(P$4&gt;=$B17,P$4&lt;=$C17),"■","")</x:f>
      </x:c>
      <x:c r="Q17" s="29" t="str">
        <x:f>IF(AND(Q$4&gt;=$B17,Q$4&lt;=$C17),"■","")</x:f>
      </x:c>
      <x:c r="R17" s="29" t="str">
        <x:f>IF(AND(R$4&gt;=$B17,R$4&lt;=$C17),"■","")</x:f>
      </x:c>
      <x:c r="S17" s="29" t="str">
        <x:f>IF(AND(S$4&gt;=$B17,S$4&lt;=$C17),"■","")</x:f>
      </x:c>
      <x:c r="T17" s="29" t="str">
        <x:f>IF(AND(T$4&gt;=$B17,T$4&lt;=$C17),"■","")</x:f>
      </x:c>
      <x:c r="U17" s="29" t="str">
        <x:f>IF(AND(U$4&gt;=$B17,U$4&lt;=$C17),"■","")</x:f>
      </x:c>
      <x:c r="V17" s="29" t="str">
        <x:f>IF(AND(V$4&gt;=$B17,V$4&lt;=$C17),"■","")</x:f>
      </x:c>
      <x:c r="W17" s="29" t="str">
        <x:f>IF(AND(W$4&gt;=$B17,W$4&lt;=$C17),"■","")</x:f>
      </x:c>
    </x:row>
    <x:row r="18" ht="15.600000381469727" hidden="0" customHeight="1">
      <x:c r="A18" s="13" t="str">
        <x:v>Seguimiento y ficha 360</x:v>
      </x:c>
      <x:c r="B18" s="13" t="n">
        <x:v>11</x:v>
      </x:c>
      <x:c r="C18" s="13" t="n">
        <x:v>12</x:v>
      </x:c>
      <x:c r="D18" s="13" t="str">
        <x:v>Equipo</x:v>
      </x:c>
      <x:c r="E18" s="13" t="str">
        <x:v>Incremento Sprint 5</x:v>
      </x:c>
      <x:c r="F18" s="29" t="str">
        <x:f>IF(AND(F$4&gt;=$B18,F$4&lt;=$C18),"■","")</x:f>
      </x:c>
      <x:c r="G18" s="29" t="str">
        <x:f>IF(AND(G$4&gt;=$B18,G$4&lt;=$C18),"■","")</x:f>
      </x:c>
      <x:c r="H18" s="29" t="str">
        <x:f>IF(AND(H$4&gt;=$B18,H$4&lt;=$C18),"■","")</x:f>
      </x:c>
      <x:c r="I18" s="29" t="str">
        <x:f>IF(AND(I$4&gt;=$B18,I$4&lt;=$C18),"■","")</x:f>
      </x:c>
      <x:c r="J18" s="29" t="str">
        <x:f>IF(AND(J$4&gt;=$B18,J$4&lt;=$C18),"■","")</x:f>
      </x:c>
      <x:c r="K18" s="29" t="str">
        <x:f>IF(AND(K$4&gt;=$B18,K$4&lt;=$C18),"■","")</x:f>
      </x:c>
      <x:c r="L18" s="29" t="str">
        <x:f>IF(AND(L$4&gt;=$B18,L$4&lt;=$C18),"■","")</x:f>
      </x:c>
      <x:c r="M18" s="29" t="str">
        <x:f>IF(AND(M$4&gt;=$B18,M$4&lt;=$C18),"■","")</x:f>
      </x:c>
      <x:c r="N18" s="29" t="str">
        <x:f>IF(AND(N$4&gt;=$B18,N$4&lt;=$C18),"■","")</x:f>
      </x:c>
      <x:c r="O18" s="29" t="str">
        <x:f>IF(AND(O$4&gt;=$B18,O$4&lt;=$C18),"■","")</x:f>
      </x:c>
      <x:c r="P18" s="29" t="str">
        <x:f>IF(AND(P$4&gt;=$B18,P$4&lt;=$C18),"■","")</x:f>
        <x:v>■</x:v>
      </x:c>
      <x:c r="Q18" s="29" t="str">
        <x:f>IF(AND(Q$4&gt;=$B18,Q$4&lt;=$C18),"■","")</x:f>
        <x:v>■</x:v>
      </x:c>
      <x:c r="R18" s="29" t="str">
        <x:f>IF(AND(R$4&gt;=$B18,R$4&lt;=$C18),"■","")</x:f>
      </x:c>
      <x:c r="S18" s="29" t="str">
        <x:f>IF(AND(S$4&gt;=$B18,S$4&lt;=$C18),"■","")</x:f>
      </x:c>
      <x:c r="T18" s="29" t="str">
        <x:f>IF(AND(T$4&gt;=$B18,T$4&lt;=$C18),"■","")</x:f>
      </x:c>
      <x:c r="U18" s="29" t="str">
        <x:f>IF(AND(U$4&gt;=$B18,U$4&lt;=$C18),"■","")</x:f>
      </x:c>
      <x:c r="V18" s="29" t="str">
        <x:f>IF(AND(V$4&gt;=$B18,V$4&lt;=$C18),"■","")</x:f>
      </x:c>
      <x:c r="W18" s="29" t="str">
        <x:f>IF(AND(W$4&gt;=$B18,W$4&lt;=$C18),"■","")</x:f>
      </x:c>
    </x:row>
    <x:row r="19" ht="15.600000381469727" hidden="0" customHeight="1">
      <x:c r="A19" s="13" t="str">
        <x:v>Notificaciones</x:v>
      </x:c>
      <x:c r="B19" s="13" t="n">
        <x:v>11</x:v>
      </x:c>
      <x:c r="C19" s="13" t="n">
        <x:v>12</x:v>
      </x:c>
      <x:c r="D19" s="13" t="str">
        <x:v>Matías Martínez</x:v>
      </x:c>
      <x:c r="E19" s="13" t="str">
        <x:v>Incremento Sprint 5</x:v>
      </x:c>
      <x:c r="F19" s="29" t="str">
        <x:f>IF(AND(F$4&gt;=$B19,F$4&lt;=$C19),"■","")</x:f>
      </x:c>
      <x:c r="G19" s="29" t="str">
        <x:f>IF(AND(G$4&gt;=$B19,G$4&lt;=$C19),"■","")</x:f>
      </x:c>
      <x:c r="H19" s="29" t="str">
        <x:f>IF(AND(H$4&gt;=$B19,H$4&lt;=$C19),"■","")</x:f>
      </x:c>
      <x:c r="I19" s="29" t="str">
        <x:f>IF(AND(I$4&gt;=$B19,I$4&lt;=$C19),"■","")</x:f>
      </x:c>
      <x:c r="J19" s="29" t="str">
        <x:f>IF(AND(J$4&gt;=$B19,J$4&lt;=$C19),"■","")</x:f>
      </x:c>
      <x:c r="K19" s="29" t="str">
        <x:f>IF(AND(K$4&gt;=$B19,K$4&lt;=$C19),"■","")</x:f>
      </x:c>
      <x:c r="L19" s="29" t="str">
        <x:f>IF(AND(L$4&gt;=$B19,L$4&lt;=$C19),"■","")</x:f>
      </x:c>
      <x:c r="M19" s="29" t="str">
        <x:f>IF(AND(M$4&gt;=$B19,M$4&lt;=$C19),"■","")</x:f>
      </x:c>
      <x:c r="N19" s="29" t="str">
        <x:f>IF(AND(N$4&gt;=$B19,N$4&lt;=$C19),"■","")</x:f>
      </x:c>
      <x:c r="O19" s="29" t="str">
        <x:f>IF(AND(O$4&gt;=$B19,O$4&lt;=$C19),"■","")</x:f>
      </x:c>
      <x:c r="P19" s="29" t="str">
        <x:f>IF(AND(P$4&gt;=$B19,P$4&lt;=$C19),"■","")</x:f>
        <x:v>■</x:v>
      </x:c>
      <x:c r="Q19" s="29" t="str">
        <x:f>IF(AND(Q$4&gt;=$B19,Q$4&lt;=$C19),"■","")</x:f>
        <x:v>■</x:v>
      </x:c>
      <x:c r="R19" s="29" t="str">
        <x:f>IF(AND(R$4&gt;=$B19,R$4&lt;=$C19),"■","")</x:f>
      </x:c>
      <x:c r="S19" s="29" t="str">
        <x:f>IF(AND(S$4&gt;=$B19,S$4&lt;=$C19),"■","")</x:f>
      </x:c>
      <x:c r="T19" s="29" t="str">
        <x:f>IF(AND(T$4&gt;=$B19,T$4&lt;=$C19),"■","")</x:f>
      </x:c>
      <x:c r="U19" s="29" t="str">
        <x:f>IF(AND(U$4&gt;=$B19,U$4&lt;=$C19),"■","")</x:f>
      </x:c>
      <x:c r="V19" s="29" t="str">
        <x:f>IF(AND(V$4&gt;=$B19,V$4&lt;=$C19),"■","")</x:f>
      </x:c>
      <x:c r="W19" s="29" t="str">
        <x:f>IF(AND(W$4&gt;=$B19,W$4&lt;=$C19),"■","")</x:f>
      </x:c>
    </x:row>
    <x:row r="20" ht="15.600000381469727" hidden="0" customHeight="1">
      <x:c r="A20" s="13" t="str">
        <x:v>Dashboard y reportes</x:v>
      </x:c>
      <x:c r="B20" s="13" t="n">
        <x:v>13</x:v>
      </x:c>
      <x:c r="C20" s="13" t="n">
        <x:v>14</x:v>
      </x:c>
      <x:c r="D20" s="13" t="str">
        <x:v>Agustín Sorolla</x:v>
      </x:c>
      <x:c r="E20" s="13" t="str">
        <x:v>Incremento Sprint 6</x:v>
      </x:c>
      <x:c r="F20" s="29" t="str">
        <x:f>IF(AND(F$4&gt;=$B20,F$4&lt;=$C20),"■","")</x:f>
      </x:c>
      <x:c r="G20" s="29" t="str">
        <x:f>IF(AND(G$4&gt;=$B20,G$4&lt;=$C20),"■","")</x:f>
      </x:c>
      <x:c r="H20" s="29" t="str">
        <x:f>IF(AND(H$4&gt;=$B20,H$4&lt;=$C20),"■","")</x:f>
      </x:c>
      <x:c r="I20" s="29" t="str">
        <x:f>IF(AND(I$4&gt;=$B20,I$4&lt;=$C20),"■","")</x:f>
      </x:c>
      <x:c r="J20" s="29" t="str">
        <x:f>IF(AND(J$4&gt;=$B20,J$4&lt;=$C20),"■","")</x:f>
      </x:c>
      <x:c r="K20" s="29" t="str">
        <x:f>IF(AND(K$4&gt;=$B20,K$4&lt;=$C20),"■","")</x:f>
      </x:c>
      <x:c r="L20" s="29" t="str">
        <x:f>IF(AND(L$4&gt;=$B20,L$4&lt;=$C20),"■","")</x:f>
      </x:c>
      <x:c r="M20" s="29" t="str">
        <x:f>IF(AND(M$4&gt;=$B20,M$4&lt;=$C20),"■","")</x:f>
      </x:c>
      <x:c r="N20" s="29" t="str">
        <x:f>IF(AND(N$4&gt;=$B20,N$4&lt;=$C20),"■","")</x:f>
      </x:c>
      <x:c r="O20" s="29" t="str">
        <x:f>IF(AND(O$4&gt;=$B20,O$4&lt;=$C20),"■","")</x:f>
      </x:c>
      <x:c r="P20" s="29" t="str">
        <x:f>IF(AND(P$4&gt;=$B20,P$4&lt;=$C20),"■","")</x:f>
      </x:c>
      <x:c r="Q20" s="29" t="str">
        <x:f>IF(AND(Q$4&gt;=$B20,Q$4&lt;=$C20),"■","")</x:f>
      </x:c>
      <x:c r="R20" s="29" t="str">
        <x:f>IF(AND(R$4&gt;=$B20,R$4&lt;=$C20),"■","")</x:f>
        <x:v>■</x:v>
      </x:c>
      <x:c r="S20" s="29" t="str">
        <x:f>IF(AND(S$4&gt;=$B20,S$4&lt;=$C20),"■","")</x:f>
        <x:v>■</x:v>
      </x:c>
      <x:c r="T20" s="29" t="str">
        <x:f>IF(AND(T$4&gt;=$B20,T$4&lt;=$C20),"■","")</x:f>
      </x:c>
      <x:c r="U20" s="29" t="str">
        <x:f>IF(AND(U$4&gt;=$B20,U$4&lt;=$C20),"■","")</x:f>
      </x:c>
      <x:c r="V20" s="29" t="str">
        <x:f>IF(AND(V$4&gt;=$B20,V$4&lt;=$C20),"■","")</x:f>
      </x:c>
      <x:c r="W20" s="29" t="str">
        <x:f>IF(AND(W$4&gt;=$B20,W$4&lt;=$C20),"■","")</x:f>
      </x:c>
    </x:row>
    <x:row r="21" ht="15.600000381469727" hidden="0" customHeight="1">
      <x:c r="A21" s="13" t="str">
        <x:v>Auditoría y seguridad</x:v>
      </x:c>
      <x:c r="B21" s="13" t="n">
        <x:v>13</x:v>
      </x:c>
      <x:c r="C21" s="13" t="n">
        <x:v>14</x:v>
      </x:c>
      <x:c r="D21" s="13" t="str">
        <x:v>Joel López</x:v>
      </x:c>
      <x:c r="E21" s="13" t="str">
        <x:v>Incremento Sprint 6</x:v>
      </x:c>
      <x:c r="F21" s="29" t="str">
        <x:f>IF(AND(F$4&gt;=$B21,F$4&lt;=$C21),"■","")</x:f>
      </x:c>
      <x:c r="G21" s="29" t="str">
        <x:f>IF(AND(G$4&gt;=$B21,G$4&lt;=$C21),"■","")</x:f>
      </x:c>
      <x:c r="H21" s="29" t="str">
        <x:f>IF(AND(H$4&gt;=$B21,H$4&lt;=$C21),"■","")</x:f>
      </x:c>
      <x:c r="I21" s="29" t="str">
        <x:f>IF(AND(I$4&gt;=$B21,I$4&lt;=$C21),"■","")</x:f>
      </x:c>
      <x:c r="J21" s="29" t="str">
        <x:f>IF(AND(J$4&gt;=$B21,J$4&lt;=$C21),"■","")</x:f>
      </x:c>
      <x:c r="K21" s="29" t="str">
        <x:f>IF(AND(K$4&gt;=$B21,K$4&lt;=$C21),"■","")</x:f>
      </x:c>
      <x:c r="L21" s="29" t="str">
        <x:f>IF(AND(L$4&gt;=$B21,L$4&lt;=$C21),"■","")</x:f>
      </x:c>
      <x:c r="M21" s="29" t="str">
        <x:f>IF(AND(M$4&gt;=$B21,M$4&lt;=$C21),"■","")</x:f>
      </x:c>
      <x:c r="N21" s="29" t="str">
        <x:f>IF(AND(N$4&gt;=$B21,N$4&lt;=$C21),"■","")</x:f>
      </x:c>
      <x:c r="O21" s="29" t="str">
        <x:f>IF(AND(O$4&gt;=$B21,O$4&lt;=$C21),"■","")</x:f>
      </x:c>
      <x:c r="P21" s="29" t="str">
        <x:f>IF(AND(P$4&gt;=$B21,P$4&lt;=$C21),"■","")</x:f>
      </x:c>
      <x:c r="Q21" s="29" t="str">
        <x:f>IF(AND(Q$4&gt;=$B21,Q$4&lt;=$C21),"■","")</x:f>
      </x:c>
      <x:c r="R21" s="29" t="str">
        <x:f>IF(AND(R$4&gt;=$B21,R$4&lt;=$C21),"■","")</x:f>
        <x:v>■</x:v>
      </x:c>
      <x:c r="S21" s="29" t="str">
        <x:f>IF(AND(S$4&gt;=$B21,S$4&lt;=$C21),"■","")</x:f>
        <x:v>■</x:v>
      </x:c>
      <x:c r="T21" s="29" t="str">
        <x:f>IF(AND(T$4&gt;=$B21,T$4&lt;=$C21),"■","")</x:f>
      </x:c>
      <x:c r="U21" s="29" t="str">
        <x:f>IF(AND(U$4&gt;=$B21,U$4&lt;=$C21),"■","")</x:f>
      </x:c>
      <x:c r="V21" s="29" t="str">
        <x:f>IF(AND(V$4&gt;=$B21,V$4&lt;=$C21),"■","")</x:f>
      </x:c>
      <x:c r="W21" s="29" t="str">
        <x:f>IF(AND(W$4&gt;=$B21,W$4&lt;=$C21),"■","")</x:f>
      </x:c>
    </x:row>
    <x:row r="22" ht="15.600000381469727" hidden="0" customHeight="1">
      <x:c r="A22" s="13" t="str">
        <x:v>Pruebas integrales y rendimiento</x:v>
      </x:c>
      <x:c r="B22" s="13" t="n">
        <x:v>13</x:v>
      </x:c>
      <x:c r="C22" s="13" t="n">
        <x:v>16</x:v>
      </x:c>
      <x:c r="D22" s="13" t="str">
        <x:v>Matías Martínez</x:v>
      </x:c>
      <x:c r="E22" s="13" t="str">
        <x:v>Plan e informe de pruebas</x:v>
      </x:c>
      <x:c r="F22" s="29" t="str">
        <x:f>IF(AND(F$4&gt;=$B22,F$4&lt;=$C22),"■","")</x:f>
      </x:c>
      <x:c r="G22" s="29" t="str">
        <x:f>IF(AND(G$4&gt;=$B22,G$4&lt;=$C22),"■","")</x:f>
      </x:c>
      <x:c r="H22" s="29" t="str">
        <x:f>IF(AND(H$4&gt;=$B22,H$4&lt;=$C22),"■","")</x:f>
      </x:c>
      <x:c r="I22" s="29" t="str">
        <x:f>IF(AND(I$4&gt;=$B22,I$4&lt;=$C22),"■","")</x:f>
      </x:c>
      <x:c r="J22" s="29" t="str">
        <x:f>IF(AND(J$4&gt;=$B22,J$4&lt;=$C22),"■","")</x:f>
      </x:c>
      <x:c r="K22" s="29" t="str">
        <x:f>IF(AND(K$4&gt;=$B22,K$4&lt;=$C22),"■","")</x:f>
      </x:c>
      <x:c r="L22" s="29" t="str">
        <x:f>IF(AND(L$4&gt;=$B22,L$4&lt;=$C22),"■","")</x:f>
      </x:c>
      <x:c r="M22" s="29" t="str">
        <x:f>IF(AND(M$4&gt;=$B22,M$4&lt;=$C22),"■","")</x:f>
      </x:c>
      <x:c r="N22" s="29" t="str">
        <x:f>IF(AND(N$4&gt;=$B22,N$4&lt;=$C22),"■","")</x:f>
      </x:c>
      <x:c r="O22" s="29" t="str">
        <x:f>IF(AND(O$4&gt;=$B22,O$4&lt;=$C22),"■","")</x:f>
      </x:c>
      <x:c r="P22" s="29" t="str">
        <x:f>IF(AND(P$4&gt;=$B22,P$4&lt;=$C22),"■","")</x:f>
      </x:c>
      <x:c r="Q22" s="29" t="str">
        <x:f>IF(AND(Q$4&gt;=$B22,Q$4&lt;=$C22),"■","")</x:f>
      </x:c>
      <x:c r="R22" s="29" t="str">
        <x:f>IF(AND(R$4&gt;=$B22,R$4&lt;=$C22),"■","")</x:f>
        <x:v>■</x:v>
      </x:c>
      <x:c r="S22" s="29" t="str">
        <x:f>IF(AND(S$4&gt;=$B22,S$4&lt;=$C22),"■","")</x:f>
        <x:v>■</x:v>
      </x:c>
      <x:c r="T22" s="29" t="str">
        <x:f>IF(AND(T$4&gt;=$B22,T$4&lt;=$C22),"■","")</x:f>
        <x:v>■</x:v>
      </x:c>
      <x:c r="U22" s="29" t="str">
        <x:f>IF(AND(U$4&gt;=$B22,U$4&lt;=$C22),"■","")</x:f>
        <x:v>■</x:v>
      </x:c>
      <x:c r="V22" s="29" t="str">
        <x:f>IF(AND(V$4&gt;=$B22,V$4&lt;=$C22),"■","")</x:f>
      </x:c>
      <x:c r="W22" s="29" t="str">
        <x:f>IF(AND(W$4&gt;=$B22,W$4&lt;=$C22),"■","")</x:f>
      </x:c>
    </x:row>
    <x:row r="23" ht="15.600000381469727" hidden="0" customHeight="1">
      <x:c r="A23" s="13" t="str">
        <x:v>Manuales y despliegue</x:v>
      </x:c>
      <x:c r="B23" s="13" t="n">
        <x:v>15</x:v>
      </x:c>
      <x:c r="C23" s="13" t="n">
        <x:v>16</x:v>
      </x:c>
      <x:c r="D23" s="13" t="str">
        <x:v>Equipo</x:v>
      </x:c>
      <x:c r="E23" s="13" t="str">
        <x:v>Manual técnico/usuario</x:v>
      </x:c>
      <x:c r="F23" s="29" t="str">
        <x:f>IF(AND(F$4&gt;=$B23,F$4&lt;=$C23),"■","")</x:f>
      </x:c>
      <x:c r="G23" s="29" t="str">
        <x:f>IF(AND(G$4&gt;=$B23,G$4&lt;=$C23),"■","")</x:f>
      </x:c>
      <x:c r="H23" s="29" t="str">
        <x:f>IF(AND(H$4&gt;=$B23,H$4&lt;=$C23),"■","")</x:f>
      </x:c>
      <x:c r="I23" s="29" t="str">
        <x:f>IF(AND(I$4&gt;=$B23,I$4&lt;=$C23),"■","")</x:f>
      </x:c>
      <x:c r="J23" s="29" t="str">
        <x:f>IF(AND(J$4&gt;=$B23,J$4&lt;=$C23),"■","")</x:f>
      </x:c>
      <x:c r="K23" s="29" t="str">
        <x:f>IF(AND(K$4&gt;=$B23,K$4&lt;=$C23),"■","")</x:f>
      </x:c>
      <x:c r="L23" s="29" t="str">
        <x:f>IF(AND(L$4&gt;=$B23,L$4&lt;=$C23),"■","")</x:f>
      </x:c>
      <x:c r="M23" s="29" t="str">
        <x:f>IF(AND(M$4&gt;=$B23,M$4&lt;=$C23),"■","")</x:f>
      </x:c>
      <x:c r="N23" s="29" t="str">
        <x:f>IF(AND(N$4&gt;=$B23,N$4&lt;=$C23),"■","")</x:f>
      </x:c>
      <x:c r="O23" s="29" t="str">
        <x:f>IF(AND(O$4&gt;=$B23,O$4&lt;=$C23),"■","")</x:f>
      </x:c>
      <x:c r="P23" s="29" t="str">
        <x:f>IF(AND(P$4&gt;=$B23,P$4&lt;=$C23),"■","")</x:f>
      </x:c>
      <x:c r="Q23" s="29" t="str">
        <x:f>IF(AND(Q$4&gt;=$B23,Q$4&lt;=$C23),"■","")</x:f>
      </x:c>
      <x:c r="R23" s="29" t="str">
        <x:f>IF(AND(R$4&gt;=$B23,R$4&lt;=$C23),"■","")</x:f>
      </x:c>
      <x:c r="S23" s="29" t="str">
        <x:f>IF(AND(S$4&gt;=$B23,S$4&lt;=$C23),"■","")</x:f>
      </x:c>
      <x:c r="T23" s="29" t="str">
        <x:f>IF(AND(T$4&gt;=$B23,T$4&lt;=$C23),"■","")</x:f>
        <x:v>■</x:v>
      </x:c>
      <x:c r="U23" s="29" t="str">
        <x:f>IF(AND(U$4&gt;=$B23,U$4&lt;=$C23),"■","")</x:f>
        <x:v>■</x:v>
      </x:c>
      <x:c r="V23" s="29" t="str">
        <x:f>IF(AND(V$4&gt;=$B23,V$4&lt;=$C23),"■","")</x:f>
      </x:c>
      <x:c r="W23" s="29" t="str">
        <x:f>IF(AND(W$4&gt;=$B23,W$4&lt;=$C23),"■","")</x:f>
      </x:c>
    </x:row>
    <x:row r="24" ht="15.600000381469727" hidden="0" customHeight="1">
      <x:c r="A24" s="13" t="str">
        <x:v>Informe y presentación Fase 2</x:v>
      </x:c>
      <x:c r="B24" s="13" t="n">
        <x:v>15</x:v>
      </x:c>
      <x:c r="C24" s="13" t="n">
        <x:v>15</x:v>
      </x:c>
      <x:c r="D24" s="13" t="str">
        <x:v>Equipo</x:v>
      </x:c>
      <x:c r="E24" s="13" t="str">
        <x:v>Entrega semana 15</x:v>
      </x:c>
      <x:c r="F24" s="29" t="str">
        <x:f>IF(AND(F$4&gt;=$B24,F$4&lt;=$C24),"■","")</x:f>
      </x:c>
      <x:c r="G24" s="29" t="str">
        <x:f>IF(AND(G$4&gt;=$B24,G$4&lt;=$C24),"■","")</x:f>
      </x:c>
      <x:c r="H24" s="29" t="str">
        <x:f>IF(AND(H$4&gt;=$B24,H$4&lt;=$C24),"■","")</x:f>
      </x:c>
      <x:c r="I24" s="29" t="str">
        <x:f>IF(AND(I$4&gt;=$B24,I$4&lt;=$C24),"■","")</x:f>
      </x:c>
      <x:c r="J24" s="29" t="str">
        <x:f>IF(AND(J$4&gt;=$B24,J$4&lt;=$C24),"■","")</x:f>
      </x:c>
      <x:c r="K24" s="29" t="str">
        <x:f>IF(AND(K$4&gt;=$B24,K$4&lt;=$C24),"■","")</x:f>
      </x:c>
      <x:c r="L24" s="29" t="str">
        <x:f>IF(AND(L$4&gt;=$B24,L$4&lt;=$C24),"■","")</x:f>
      </x:c>
      <x:c r="M24" s="29" t="str">
        <x:f>IF(AND(M$4&gt;=$B24,M$4&lt;=$C24),"■","")</x:f>
      </x:c>
      <x:c r="N24" s="29" t="str">
        <x:f>IF(AND(N$4&gt;=$B24,N$4&lt;=$C24),"■","")</x:f>
      </x:c>
      <x:c r="O24" s="29" t="str">
        <x:f>IF(AND(O$4&gt;=$B24,O$4&lt;=$C24),"■","")</x:f>
      </x:c>
      <x:c r="P24" s="29" t="str">
        <x:f>IF(AND(P$4&gt;=$B24,P$4&lt;=$C24),"■","")</x:f>
      </x:c>
      <x:c r="Q24" s="29" t="str">
        <x:f>IF(AND(Q$4&gt;=$B24,Q$4&lt;=$C24),"■","")</x:f>
      </x:c>
      <x:c r="R24" s="29" t="str">
        <x:f>IF(AND(R$4&gt;=$B24,R$4&lt;=$C24),"■","")</x:f>
      </x:c>
      <x:c r="S24" s="29" t="str">
        <x:f>IF(AND(S$4&gt;=$B24,S$4&lt;=$C24),"■","")</x:f>
      </x:c>
      <x:c r="T24" s="29" t="str">
        <x:f>IF(AND(T$4&gt;=$B24,T$4&lt;=$C24),"■","")</x:f>
        <x:v>■</x:v>
      </x:c>
      <x:c r="U24" s="29" t="str">
        <x:f>IF(AND(U$4&gt;=$B24,U$4&lt;=$C24),"■","")</x:f>
      </x:c>
      <x:c r="V24" s="29" t="str">
        <x:f>IF(AND(V$4&gt;=$B24,V$4&lt;=$C24),"■","")</x:f>
      </x:c>
      <x:c r="W24" s="29" t="str">
        <x:f>IF(AND(W$4&gt;=$B24,W$4&lt;=$C24),"■","")</x:f>
      </x:c>
    </x:row>
    <x:row r="25" ht="15.600000381469727" hidden="0" customHeight="1">
      <x:c r="A25" s="13" t="str">
        <x:v>Estabilización y release final</x:v>
      </x:c>
      <x:c r="B25" s="13" t="n">
        <x:v>16</x:v>
      </x:c>
      <x:c r="C25" s="13" t="n">
        <x:v>17</x:v>
      </x:c>
      <x:c r="D25" s="13" t="str">
        <x:v>Equipo</x:v>
      </x:c>
      <x:c r="E25" s="13" t="str">
        <x:v>Release candidate</x:v>
      </x:c>
      <x:c r="F25" s="29" t="str">
        <x:f>IF(AND(F$4&gt;=$B25,F$4&lt;=$C25),"■","")</x:f>
      </x:c>
      <x:c r="G25" s="29" t="str">
        <x:f>IF(AND(G$4&gt;=$B25,G$4&lt;=$C25),"■","")</x:f>
      </x:c>
      <x:c r="H25" s="29" t="str">
        <x:f>IF(AND(H$4&gt;=$B25,H$4&lt;=$C25),"■","")</x:f>
      </x:c>
      <x:c r="I25" s="29" t="str">
        <x:f>IF(AND(I$4&gt;=$B25,I$4&lt;=$C25),"■","")</x:f>
      </x:c>
      <x:c r="J25" s="29" t="str">
        <x:f>IF(AND(J$4&gt;=$B25,J$4&lt;=$C25),"■","")</x:f>
      </x:c>
      <x:c r="K25" s="29" t="str">
        <x:f>IF(AND(K$4&gt;=$B25,K$4&lt;=$C25),"■","")</x:f>
      </x:c>
      <x:c r="L25" s="29" t="str">
        <x:f>IF(AND(L$4&gt;=$B25,L$4&lt;=$C25),"■","")</x:f>
      </x:c>
      <x:c r="M25" s="29" t="str">
        <x:f>IF(AND(M$4&gt;=$B25,M$4&lt;=$C25),"■","")</x:f>
      </x:c>
      <x:c r="N25" s="29" t="str">
        <x:f>IF(AND(N$4&gt;=$B25,N$4&lt;=$C25),"■","")</x:f>
      </x:c>
      <x:c r="O25" s="29" t="str">
        <x:f>IF(AND(O$4&gt;=$B25,O$4&lt;=$C25),"■","")</x:f>
      </x:c>
      <x:c r="P25" s="29" t="str">
        <x:f>IF(AND(P$4&gt;=$B25,P$4&lt;=$C25),"■","")</x:f>
      </x:c>
      <x:c r="Q25" s="29" t="str">
        <x:f>IF(AND(Q$4&gt;=$B25,Q$4&lt;=$C25),"■","")</x:f>
      </x:c>
      <x:c r="R25" s="29" t="str">
        <x:f>IF(AND(R$4&gt;=$B25,R$4&lt;=$C25),"■","")</x:f>
      </x:c>
      <x:c r="S25" s="29" t="str">
        <x:f>IF(AND(S$4&gt;=$B25,S$4&lt;=$C25),"■","")</x:f>
      </x:c>
      <x:c r="T25" s="29" t="str">
        <x:f>IF(AND(T$4&gt;=$B25,T$4&lt;=$C25),"■","")</x:f>
      </x:c>
      <x:c r="U25" s="29" t="str">
        <x:f>IF(AND(U$4&gt;=$B25,U$4&lt;=$C25),"■","")</x:f>
        <x:v>■</x:v>
      </x:c>
      <x:c r="V25" s="29" t="str">
        <x:f>IF(AND(V$4&gt;=$B25,V$4&lt;=$C25),"■","")</x:f>
        <x:v>■</x:v>
      </x:c>
      <x:c r="W25" s="29" t="str">
        <x:f>IF(AND(W$4&gt;=$B25,W$4&lt;=$C25),"■","")</x:f>
      </x:c>
    </x:row>
    <x:row r="26" ht="15.600000381469727" hidden="0" customHeight="1">
      <x:c r="A26" s="13" t="str">
        <x:v>Defensa y cierre Fase 3</x:v>
      </x:c>
      <x:c r="B26" s="13" t="n">
        <x:v>17</x:v>
      </x:c>
      <x:c r="C26" s="13" t="n">
        <x:v>18</x:v>
      </x:c>
      <x:c r="D26" s="13" t="str">
        <x:v>Equipo</x:v>
      </x:c>
      <x:c r="E26" s="13" t="str">
        <x:v>Presentación y retrospectiva</x:v>
      </x:c>
      <x:c r="F26" s="29" t="str">
        <x:f>IF(AND(F$4&gt;=$B26,F$4&lt;=$C26),"■","")</x:f>
      </x:c>
      <x:c r="G26" s="29" t="str">
        <x:f>IF(AND(G$4&gt;=$B26,G$4&lt;=$C26),"■","")</x:f>
      </x:c>
      <x:c r="H26" s="29" t="str">
        <x:f>IF(AND(H$4&gt;=$B26,H$4&lt;=$C26),"■","")</x:f>
      </x:c>
      <x:c r="I26" s="29" t="str">
        <x:f>IF(AND(I$4&gt;=$B26,I$4&lt;=$C26),"■","")</x:f>
      </x:c>
      <x:c r="J26" s="29" t="str">
        <x:f>IF(AND(J$4&gt;=$B26,J$4&lt;=$C26),"■","")</x:f>
      </x:c>
      <x:c r="K26" s="29" t="str">
        <x:f>IF(AND(K$4&gt;=$B26,K$4&lt;=$C26),"■","")</x:f>
      </x:c>
      <x:c r="L26" s="29" t="str">
        <x:f>IF(AND(L$4&gt;=$B26,L$4&lt;=$C26),"■","")</x:f>
      </x:c>
      <x:c r="M26" s="29" t="str">
        <x:f>IF(AND(M$4&gt;=$B26,M$4&lt;=$C26),"■","")</x:f>
      </x:c>
      <x:c r="N26" s="29" t="str">
        <x:f>IF(AND(N$4&gt;=$B26,N$4&lt;=$C26),"■","")</x:f>
      </x:c>
      <x:c r="O26" s="29" t="str">
        <x:f>IF(AND(O$4&gt;=$B26,O$4&lt;=$C26),"■","")</x:f>
      </x:c>
      <x:c r="P26" s="29" t="str">
        <x:f>IF(AND(P$4&gt;=$B26,P$4&lt;=$C26),"■","")</x:f>
      </x:c>
      <x:c r="Q26" s="29" t="str">
        <x:f>IF(AND(Q$4&gt;=$B26,Q$4&lt;=$C26),"■","")</x:f>
      </x:c>
      <x:c r="R26" s="29" t="str">
        <x:f>IF(AND(R$4&gt;=$B26,R$4&lt;=$C26),"■","")</x:f>
      </x:c>
      <x:c r="S26" s="29" t="str">
        <x:f>IF(AND(S$4&gt;=$B26,S$4&lt;=$C26),"■","")</x:f>
      </x:c>
      <x:c r="T26" s="29" t="str">
        <x:f>IF(AND(T$4&gt;=$B26,T$4&lt;=$C26),"■","")</x:f>
      </x:c>
      <x:c r="U26" s="29" t="str">
        <x:f>IF(AND(U$4&gt;=$B26,U$4&lt;=$C26),"■","")</x:f>
      </x:c>
      <x:c r="V26" s="29" t="str">
        <x:f>IF(AND(V$4&gt;=$B26,V$4&lt;=$C26),"■","")</x:f>
        <x:v>■</x:v>
      </x:c>
      <x:c r="W26" s="29" t="str">
        <x:f>IF(AND(W$4&gt;=$B26,W$4&lt;=$C26),"■","")</x:f>
        <x:v>■</x:v>
      </x:c>
    </x:row>
  </x:sheetData>
  <x:mergeCells>
    <x:mergeCell ref="A1:W1"/>
    <x:mergeCell ref="A2:W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2" hidden="0" customWidth="1"/>
    <x:col min="3" max="3" width="13" hidden="0" customWidth="1"/>
    <x:col min="4" max="4" width="12" hidden="0" customWidth="1"/>
    <x:col min="5" max="5" width="12" hidden="0" customWidth="1"/>
    <x:col min="6" max="6" width="20" hidden="0" customWidth="1"/>
    <x:col min="7" max="7" width="13" hidden="0" customWidth="1"/>
    <x:col min="8" max="8" width="28" hidden="0" customWidth="1"/>
    <x:col min="9" max="9" width="20" hidden="0" customWidth="1"/>
    <x:col min="10" max="10" width="29" hidden="0" customWidth="1"/>
  </x:cols>
  <x:sheetData>
    <x:row r="1" ht="21.600000381469727" hidden="0" customHeight="1">
      <x:c r="A1" s="4" t="str">
        <x:v>Matriz de entregables y evidencias</x:v>
      </x:c>
      <x:c r="B1" s="4" t="str">
        <x:v>Matriz de entregables y evidencias</x:v>
      </x:c>
      <x:c r="C1" s="4" t="str">
        <x:v>Matriz de entregables y evidencias</x:v>
      </x:c>
      <x:c r="D1" s="4" t="str">
        <x:v>Matriz de entregables y evidencias</x:v>
      </x:c>
      <x:c r="E1" s="4" t="str">
        <x:v>Matriz de entregables y evidencias</x:v>
      </x:c>
      <x:c r="F1" s="4" t="str">
        <x:v>Matriz de entregables y evidencias</x:v>
      </x:c>
      <x:c r="G1" s="4" t="str">
        <x:v>Matriz de entregables y evidencias</x:v>
      </x:c>
      <x:c r="H1" s="4" t="str">
        <x:v>Matriz de entregables y evidencias</x:v>
      </x:c>
      <x:c r="I1" s="4" t="str">
        <x:v>Matriz de entregables y evidencias</x:v>
      </x:c>
      <x:c r="J1" s="4" t="str">
        <x:v>Matriz de entregables y evidencias</x:v>
      </x:c>
    </x:row>
    <x:row r="2" ht="15" hidden="0" customHeight="1">
      <x:c r="A2" s="7" t="str">
        <x:v>Trazabilidad entre documentos académicos, artefactos Scrum y evidencia técnica</x:v>
      </x:c>
      <x:c r="B2" s="7" t="str">
        <x:v>Trazabilidad entre documentos académicos, artefactos Scrum y evidencia técnica</x:v>
      </x:c>
      <x:c r="C2" s="7" t="str">
        <x:v>Trazabilidad entre documentos académicos, artefactos Scrum y evidencia técnica</x:v>
      </x:c>
      <x:c r="D2" s="7" t="str">
        <x:v>Trazabilidad entre documentos académicos, artefactos Scrum y evidencia técnica</x:v>
      </x:c>
      <x:c r="E2" s="7" t="str">
        <x:v>Trazabilidad entre documentos académicos, artefactos Scrum y evidencia técnica</x:v>
      </x:c>
      <x:c r="F2" s="7" t="str">
        <x:v>Trazabilidad entre documentos académicos, artefactos Scrum y evidencia técnica</x:v>
      </x:c>
      <x:c r="G2" s="7" t="str">
        <x:v>Trazabilidad entre documentos académicos, artefactos Scrum y evidencia técnica</x:v>
      </x:c>
      <x:c r="H2" s="7" t="str">
        <x:v>Trazabilidad entre documentos académicos, artefactos Scrum y evidencia técnica</x:v>
      </x:c>
      <x:c r="I2" s="7" t="str">
        <x:v>Trazabilidad entre documentos académicos, artefactos Scrum y evidencia técnica</x:v>
      </x:c>
      <x:c r="J2" s="7" t="str">
        <x:v>Trazabilidad entre documentos académicos, artefactos Scrum y evidencia técnica</x:v>
      </x:c>
    </x:row>
    <x:row r="3"/>
    <x:row r="4" ht="15" hidden="0" customHeight="1">
      <x:c r="A4" s="21" t="str">
        <x:v>ID</x:v>
      </x:c>
      <x:c r="B4" s="21" t="str">
        <x:v>Entregable / evidencia</x:v>
      </x:c>
      <x:c r="C4" s="21" t="str">
        <x:v>Modalidad</x:v>
      </x:c>
      <x:c r="D4" s="21" t="str">
        <x:v>Fase</x:v>
      </x:c>
      <x:c r="E4" s="21" t="str">
        <x:v>Semana límite</x:v>
      </x:c>
      <x:c r="F4" s="21" t="str">
        <x:v>Owner</x:v>
      </x:c>
      <x:c r="G4" s="21" t="str">
        <x:v>Estado</x:v>
      </x:c>
      <x:c r="H4" s="21" t="str">
        <x:v>Ubicación sugerida</x:v>
      </x:c>
      <x:c r="I4" s="21" t="str">
        <x:v>Fuente</x:v>
      </x:c>
      <x:c r="J4" s="21" t="str">
        <x:v>Observación</x:v>
      </x:c>
    </x:row>
    <x:row r="5" ht="15" hidden="0" customHeight="1">
      <x:c r="A5" s="13" t="str">
        <x:v>E-01</x:v>
      </x:c>
      <x:c r="B5" s="13" t="str">
        <x:v>Autoevaluación de competencias 1.1</x:v>
      </x:c>
      <x:c r="C5" s="13" t="str">
        <x:v>Individual</x:v>
      </x:c>
      <x:c r="D5" s="13" t="str">
        <x:v>F1</x:v>
      </x:c>
      <x:c r="E5" s="13" t="n">
        <x:v>1</x:v>
      </x:c>
      <x:c r="F5" s="13" t="str">
        <x:v>Cada integrante</x:v>
      </x:c>
      <x:c r="G5" s="13" t="str">
        <x:v>Pendiente</x:v>
      </x:c>
      <x:c r="H5" s="13" t="str">
        <x:v>Archivo individual</x:v>
      </x:c>
      <x:c r="I5" s="13" t="str">
        <x:v>Formulario oficial</x:v>
      </x:c>
      <x:c r="J5" s="13" t="str">
        <x:v>Obligatorio</x:v>
      </x:c>
    </x:row>
    <x:row r="6" ht="15" hidden="0" customHeight="1">
      <x:c r="A6" s="13" t="str">
        <x:v>E-02</x:v>
      </x:c>
      <x:c r="B6" s="13" t="str">
        <x:v>Diario de reflexión 1.2</x:v>
      </x:c>
      <x:c r="C6" s="13" t="str">
        <x:v>Individual</x:v>
      </x:c>
      <x:c r="D6" s="13" t="str">
        <x:v>F1</x:v>
      </x:c>
      <x:c r="E6" s="13" t="n">
        <x:v>1</x:v>
      </x:c>
      <x:c r="F6" s="13" t="str">
        <x:v>Cada integrante</x:v>
      </x:c>
      <x:c r="G6" s="13" t="str">
        <x:v>Pendiente</x:v>
      </x:c>
      <x:c r="H6" s="13" t="str">
        <x:v>Archivo individual</x:v>
      </x:c>
      <x:c r="I6" s="13" t="str">
        <x:v>Formulario oficial</x:v>
      </x:c>
      <x:c r="J6" s="13" t="str">
        <x:v>Actualizar durante la fase</x:v>
      </x:c>
    </x:row>
    <x:row r="7" ht="15" hidden="0" customHeight="1">
      <x:c r="A7" s="13" t="str">
        <x:v>E-03</x:v>
      </x:c>
      <x:c r="B7" s="13" t="str">
        <x:v>Formativa Fase 1 1.4</x:v>
      </x:c>
      <x:c r="C7" s="13" t="str">
        <x:v>Grupal</x:v>
      </x:c>
      <x:c r="D7" s="13" t="str">
        <x:v>F1</x:v>
      </x:c>
      <x:c r="E7" s="13" t="n">
        <x:v>2</x:v>
      </x:c>
      <x:c r="F7" s="13" t="str">
        <x:v>Equipo</x:v>
      </x:c>
      <x:c r="G7" s="13" t="str">
        <x:v>Pendiente</x:v>
      </x:c>
      <x:c r="H7" s="13" t="str">
        <x:v>Retroalimentación</x:v>
      </x:c>
      <x:c r="I7" s="13" t="str">
        <x:v>Plantilla oficial</x:v>
      </x:c>
      <x:c r="J7" s="13" t="str">
        <x:v>Usar para mejorar entrega</x:v>
      </x:c>
    </x:row>
    <x:row r="8" ht="15" hidden="0" customHeight="1">
      <x:c r="A8" s="13" t="str">
        <x:v>E-04</x:v>
      </x:c>
      <x:c r="B8" s="13" t="str">
        <x:v>Autoevaluación Fase 1 1.3</x:v>
      </x:c>
      <x:c r="C8" s="13" t="str">
        <x:v>Individual</x:v>
      </x:c>
      <x:c r="D8" s="13" t="str">
        <x:v>F1</x:v>
      </x:c>
      <x:c r="E8" s="13" t="n">
        <x:v>3</x:v>
      </x:c>
      <x:c r="F8" s="13" t="str">
        <x:v>Cada integrante</x:v>
      </x:c>
      <x:c r="G8" s="13" t="str">
        <x:v>Pendiente</x:v>
      </x:c>
      <x:c r="H8" s="13" t="str">
        <x:v>Archivo individual</x:v>
      </x:c>
      <x:c r="I8" s="13" t="str">
        <x:v>Formulario oficial</x:v>
      </x:c>
      <x:c r="J8" s="13" t="str">
        <x:v>Incluye reflexión</x:v>
      </x:c>
    </x:row>
    <x:row r="9" ht="15" hidden="0" customHeight="1">
      <x:c r="A9" s="13" t="str">
        <x:v>E-05</x:v>
      </x:c>
      <x:c r="B9" s="13" t="str">
        <x:v>Definición Proyecto APT 1.5</x:v>
      </x:c>
      <x:c r="C9" s="13" t="str">
        <x:v>Grupal</x:v>
      </x:c>
      <x:c r="D9" s="13" t="str">
        <x:v>F1</x:v>
      </x:c>
      <x:c r="E9" s="13" t="n">
        <x:v>4</x:v>
      </x:c>
      <x:c r="F9" s="13" t="str">
        <x:v>Joel López</x:v>
      </x:c>
      <x:c r="G9" s="13" t="str">
        <x:v>En curso</x:v>
      </x:c>
      <x:c r="H9" s="13" t="str">
        <x:v>Documento Word</x:v>
      </x:c>
      <x:c r="I9" s="13" t="str">
        <x:v>Plantilla oficial</x:v>
      </x:c>
      <x:c r="J9" s="13" t="str">
        <x:v>Incluye Gantt 18 semanas</x:v>
      </x:c>
    </x:row>
    <x:row r="10" ht="15" hidden="0" customHeight="1">
      <x:c r="A10" s="13" t="str">
        <x:v>E-06</x:v>
      </x:c>
      <x:c r="B10" s="13" t="str">
        <x:v>Abstract grupal en inglés</x:v>
      </x:c>
      <x:c r="C10" s="13" t="str">
        <x:v>Grupal</x:v>
      </x:c>
      <x:c r="D10" s="13" t="str">
        <x:v>F1</x:v>
      </x:c>
      <x:c r="E10" s="13" t="n">
        <x:v>4</x:v>
      </x:c>
      <x:c r="F10" s="13" t="str">
        <x:v>Equipo</x:v>
      </x:c>
      <x:c r="G10" s="13" t="str">
        <x:v>Pendiente</x:v>
      </x:c>
      <x:c r="H10" s="13" t="str">
        <x:v>Documento/presentación</x:v>
      </x:c>
      <x:c r="I10" s="13" t="str">
        <x:v>Rúbrica</x:v>
      </x:c>
      <x:c r="J10" s="13" t="str">
        <x:v>Revisión lingüística</x:v>
      </x:c>
    </x:row>
    <x:row r="11" ht="15" hidden="0" customHeight="1">
      <x:c r="A11" s="13" t="str">
        <x:v>E-07</x:v>
      </x:c>
      <x:c r="B11" s="13" t="str">
        <x:v>Conclusión y reflexión en inglés</x:v>
      </x:c>
      <x:c r="C11" s="13" t="str">
        <x:v>Individual</x:v>
      </x:c>
      <x:c r="D11" s="13" t="str">
        <x:v>F1</x:v>
      </x:c>
      <x:c r="E11" s="13" t="n">
        <x:v>4</x:v>
      </x:c>
      <x:c r="F11" s="13" t="str">
        <x:v>Cada integrante</x:v>
      </x:c>
      <x:c r="G11" s="13" t="str">
        <x:v>Pendiente</x:v>
      </x:c>
      <x:c r="H11" s="13" t="str">
        <x:v>Documento/presentación</x:v>
      </x:c>
      <x:c r="I11" s="13" t="str">
        <x:v>Rúbrica</x:v>
      </x:c>
      <x:c r="J11" s="13" t="str">
        <x:v>Contenido personal</x:v>
      </x:c>
    </x:row>
    <x:row r="12" ht="15" hidden="0" customHeight="1">
      <x:c r="A12" s="13" t="str">
        <x:v>E-08</x:v>
      </x:c>
      <x:c r="B12" s="13" t="str">
        <x:v>Presentación Fase 1</x:v>
      </x:c>
      <x:c r="C12" s="13" t="str">
        <x:v>Grupal</x:v>
      </x:c>
      <x:c r="D12" s="13" t="str">
        <x:v>F1</x:v>
      </x:c>
      <x:c r="E12" s="13" t="n">
        <x:v>4</x:v>
      </x:c>
      <x:c r="F12" s="13" t="str">
        <x:v>Equipo</x:v>
      </x:c>
      <x:c r="G12" s="13" t="str">
        <x:v>Pendiente</x:v>
      </x:c>
      <x:c r="H12" s="13" t="str">
        <x:v>Diapositivas + demo/prototipo</x:v>
      </x:c>
      <x:c r="I12" s="13" t="str">
        <x:v>Rúbrica</x:v>
      </x:c>
      <x:c r="J12" s="13" t="str">
        <x:v>Ensayar tiempos</x:v>
      </x:c>
    </x:row>
    <x:row r="13" ht="15" hidden="0" customHeight="1">
      <x:c r="A13" s="13" t="str">
        <x:v>E-09</x:v>
      </x:c>
      <x:c r="B13" s="13" t="str">
        <x:v>Product Vision + 4 pilares</x:v>
      </x:c>
      <x:c r="C13" s="13" t="str">
        <x:v>Grupal</x:v>
      </x:c>
      <x:c r="D13" s="13" t="str">
        <x:v>F1</x:v>
      </x:c>
      <x:c r="E13" s="13" t="n">
        <x:v>2</x:v>
      </x:c>
      <x:c r="F13" s="13" t="str">
        <x:v>Joel López</x:v>
      </x:c>
      <x:c r="G13" s="13" t="str">
        <x:v>Pendiente</x:v>
      </x:c>
      <x:c r="H13" s="13" t="str">
        <x:v>docs/product-vision</x:v>
      </x:c>
      <x:c r="I13" s="13" t="str">
        <x:v>Scrum</x:v>
      </x:c>
      <x:c r="J13" s="13" t="str">
        <x:v>Máx. 2 páginas según instructivo</x:v>
      </x:c>
    </x:row>
    <x:row r="14" ht="15" hidden="0" customHeight="1">
      <x:c r="A14" s="13" t="str">
        <x:v>E-10</x:v>
      </x:c>
      <x:c r="B14" s="13" t="str">
        <x:v>Mapa actores / mapa mental / impact mapping</x:v>
      </x:c>
      <x:c r="C14" s="13" t="str">
        <x:v>Grupal</x:v>
      </x:c>
      <x:c r="D14" s="13" t="str">
        <x:v>F1</x:v>
      </x:c>
      <x:c r="E14" s="13" t="n">
        <x:v>2</x:v>
      </x:c>
      <x:c r="F14" s="13" t="str">
        <x:v>Equipo</x:v>
      </x:c>
      <x:c r="G14" s="13" t="str">
        <x:v>Pendiente</x:v>
      </x:c>
      <x:c r="H14" s="13" t="str">
        <x:v>docs/descubrimiento</x:v>
      </x:c>
      <x:c r="I14" s="13" t="str">
        <x:v>Listado documentos</x:v>
      </x:c>
      <x:c r="J14" s="13" t="str">
        <x:v>Evidencia de análisis</x:v>
      </x:c>
    </x:row>
    <x:row r="15" ht="15" hidden="0" customHeight="1">
      <x:c r="A15" s="13" t="str">
        <x:v>E-11</x:v>
      </x:c>
      <x:c r="B15" s="13" t="str">
        <x:v>Épicas, historias y story map</x:v>
      </x:c>
      <x:c r="C15" s="13" t="str">
        <x:v>Grupal</x:v>
      </x:c>
      <x:c r="D15" s="13" t="str">
        <x:v>F1</x:v>
      </x:c>
      <x:c r="E15" s="13" t="n">
        <x:v>3</x:v>
      </x:c>
      <x:c r="F15" s="13" t="str">
        <x:v>Agustín Sorolla</x:v>
      </x:c>
      <x:c r="G15" s="13" t="str">
        <x:v>Pendiente</x:v>
      </x:c>
      <x:c r="H15" s="13" t="str">
        <x:v>docs/backlog</x:v>
      </x:c>
      <x:c r="I15" s="13" t="str">
        <x:v>Scrum</x:v>
      </x:c>
      <x:c r="J15" s="13" t="str">
        <x:v>Criterios y estimación</x:v>
      </x:c>
    </x:row>
    <x:row r="16" ht="15" hidden="0" customHeight="1">
      <x:c r="A16" s="13" t="str">
        <x:v>E-12</x:v>
      </x:c>
      <x:c r="B16" s="13" t="str">
        <x:v>Product Backlog priorizado</x:v>
      </x:c>
      <x:c r="C16" s="13" t="str">
        <x:v>Grupal</x:v>
      </x:c>
      <x:c r="D16" s="13" t="str">
        <x:v>Todas</x:v>
      </x:c>
      <x:c r="E16" s="13" t="n">
        <x:v>18</x:v>
      </x:c>
      <x:c r="F16" s="13" t="str">
        <x:v>Product Owner</x:v>
      </x:c>
      <x:c r="G16" s="13" t="str">
        <x:v>En curso</x:v>
      </x:c>
      <x:c r="H16" s="13" t="str">
        <x:v>Plan maestro / herramienta</x:v>
      </x:c>
      <x:c r="I16" s="13" t="str">
        <x:v>Scrum</x:v>
      </x:c>
      <x:c r="J16" s="13" t="str">
        <x:v>Refinamiento continuo</x:v>
      </x:c>
    </x:row>
    <x:row r="17" ht="15" hidden="0" customHeight="1">
      <x:c r="A17" s="13" t="str">
        <x:v>E-13</x:v>
      </x:c>
      <x:c r="B17" s="13" t="str">
        <x:v>Sprint Planning + Sprint Backlog</x:v>
      </x:c>
      <x:c r="C17" s="13" t="str">
        <x:v>Grupal</x:v>
      </x:c>
      <x:c r="D17" s="13" t="str">
        <x:v>Cada sprint</x:v>
      </x:c>
      <x:c r="E17" s="13" t="n">
        <x:v>18</x:v>
      </x:c>
      <x:c r="F17" s="13" t="str">
        <x:v>Equipo</x:v>
      </x:c>
      <x:c r="G17" s="13" t="str">
        <x:v>Pendiente</x:v>
      </x:c>
      <x:c r="H17" s="13" t="str">
        <x:v>Acta + tablero</x:v>
      </x:c>
      <x:c r="I17" s="13" t="str">
        <x:v>Scrum</x:v>
      </x:c>
      <x:c r="J17" s="13" t="str">
        <x:v>Una evidencia por sprint</x:v>
      </x:c>
    </x:row>
    <x:row r="18" ht="15" hidden="0" customHeight="1">
      <x:c r="A18" s="13" t="str">
        <x:v>E-14</x:v>
      </x:c>
      <x:c r="B18" s="13" t="str">
        <x:v>Dailies + impedimentos</x:v>
      </x:c>
      <x:c r="C18" s="13" t="str">
        <x:v>Grupal</x:v>
      </x:c>
      <x:c r="D18" s="13" t="str">
        <x:v>Cada sprint</x:v>
      </x:c>
      <x:c r="E18" s="13" t="n">
        <x:v>18</x:v>
      </x:c>
      <x:c r="F18" s="13" t="str">
        <x:v>Scrum Master</x:v>
      </x:c>
      <x:c r="G18" s="13" t="str">
        <x:v>Pendiente</x:v>
      </x:c>
      <x:c r="H18" s="13" t="str">
        <x:v>Minutas / tablero</x:v>
      </x:c>
      <x:c r="I18" s="13" t="str">
        <x:v>Scrum</x:v>
      </x:c>
      <x:c r="J18" s="13" t="str">
        <x:v>Registro breve y trazable</x:v>
      </x:c>
    </x:row>
    <x:row r="19" ht="15" hidden="0" customHeight="1">
      <x:c r="A19" s="13" t="str">
        <x:v>E-15</x:v>
      </x:c>
      <x:c r="B19" s="13" t="str">
        <x:v>Burndown / métricas</x:v>
      </x:c>
      <x:c r="C19" s="13" t="str">
        <x:v>Grupal</x:v>
      </x:c>
      <x:c r="D19" s="13" t="str">
        <x:v>Cada sprint</x:v>
      </x:c>
      <x:c r="E19" s="13" t="n">
        <x:v>18</x:v>
      </x:c>
      <x:c r="F19" s="13" t="str">
        <x:v>Scrum Master</x:v>
      </x:c>
      <x:c r="G19" s="13" t="str">
        <x:v>Pendiente</x:v>
      </x:c>
      <x:c r="H19" s="13" t="str">
        <x:v>Gráfico por sprint</x:v>
      </x:c>
      <x:c r="I19" s="13" t="str">
        <x:v>Scrum</x:v>
      </x:c>
      <x:c r="J19" s="13" t="str">
        <x:v>Usar datos reales</x:v>
      </x:c>
    </x:row>
    <x:row r="20" ht="15" hidden="0" customHeight="1">
      <x:c r="A20" s="13" t="str">
        <x:v>E-16</x:v>
      </x:c>
      <x:c r="B20" s="13" t="str">
        <x:v>Sprint Review + Release</x:v>
      </x:c>
      <x:c r="C20" s="13" t="str">
        <x:v>Grupal</x:v>
      </x:c>
      <x:c r="D20" s="13" t="str">
        <x:v>Cada sprint</x:v>
      </x:c>
      <x:c r="E20" s="13" t="n">
        <x:v>18</x:v>
      </x:c>
      <x:c r="F20" s="13" t="str">
        <x:v>Equipo</x:v>
      </x:c>
      <x:c r="G20" s="13" t="str">
        <x:v>Pendiente</x:v>
      </x:c>
      <x:c r="H20" s="13" t="str">
        <x:v>Acta, demo, versión</x:v>
      </x:c>
      <x:c r="I20" s="13" t="str">
        <x:v>Scrum</x:v>
      </x:c>
      <x:c r="J20" s="13" t="str">
        <x:v>Aceptación contra criterios</x:v>
      </x:c>
    </x:row>
    <x:row r="21" ht="15" hidden="0" customHeight="1">
      <x:c r="A21" s="13" t="str">
        <x:v>E-17</x:v>
      </x:c>
      <x:c r="B21" s="13" t="str">
        <x:v>Sprint Retrospective</x:v>
      </x:c>
      <x:c r="C21" s="13" t="str">
        <x:v>Grupal</x:v>
      </x:c>
      <x:c r="D21" s="13" t="str">
        <x:v>Cada sprint</x:v>
      </x:c>
      <x:c r="E21" s="13" t="n">
        <x:v>18</x:v>
      </x:c>
      <x:c r="F21" s="13" t="str">
        <x:v>Equipo</x:v>
      </x:c>
      <x:c r="G21" s="13" t="str">
        <x:v>Pendiente</x:v>
      </x:c>
      <x:c r="H21" s="13" t="str">
        <x:v>Acta de mejora</x:v>
      </x:c>
      <x:c r="I21" s="13" t="str">
        <x:v>Scrum</x:v>
      </x:c>
      <x:c r="J21" s="13" t="str">
        <x:v>Acciones con dueño</x:v>
      </x:c>
    </x:row>
    <x:row r="22" ht="15" hidden="0" customHeight="1">
      <x:c r="A22" s="13" t="str">
        <x:v>E-18</x:v>
      </x:c>
      <x:c r="B22" s="13" t="str">
        <x:v>Documento de diseño</x:v>
      </x:c>
      <x:c r="C22" s="13" t="str">
        <x:v>Grupal</x:v>
      </x:c>
      <x:c r="D22" s="13" t="str">
        <x:v>F2</x:v>
      </x:c>
      <x:c r="E22" s="13" t="n">
        <x:v>10</x:v>
      </x:c>
      <x:c r="F22" s="13" t="str">
        <x:v>Joel López</x:v>
      </x:c>
      <x:c r="G22" s="13" t="str">
        <x:v>Pendiente</x:v>
      </x:c>
      <x:c r="H22" s="13" t="str">
        <x:v>docs/design</x:v>
      </x:c>
      <x:c r="I22" s="13" t="str">
        <x:v>Instructivo</x:v>
      </x:c>
      <x:c r="J22" s="13" t="str">
        <x:v>Arquitectura, ER, UML, NFR</x:v>
      </x:c>
    </x:row>
    <x:row r="23" ht="15" hidden="0" customHeight="1">
      <x:c r="A23" s="13" t="str">
        <x:v>E-19</x:v>
      </x:c>
      <x:c r="B23" s="13" t="str">
        <x:v>Plan y evidencias de prueba por sprint</x:v>
      </x:c>
      <x:c r="C23" s="13" t="str">
        <x:v>Grupal</x:v>
      </x:c>
      <x:c r="D23" s="13" t="str">
        <x:v>F2</x:v>
      </x:c>
      <x:c r="E23" s="13" t="n">
        <x:v>16</x:v>
      </x:c>
      <x:c r="F23" s="13" t="str">
        <x:v>Matías Martínez</x:v>
      </x:c>
      <x:c r="G23" s="13" t="str">
        <x:v>Pendiente</x:v>
      </x:c>
      <x:c r="H23" s="13" t="str">
        <x:v>tests/evidence</x:v>
      </x:c>
      <x:c r="I23" s="13" t="str">
        <x:v>Instructivo</x:v>
      </x:c>
      <x:c r="J23" s="13" t="str">
        <x:v>Unitarias, integración, rendimiento, seguridad</x:v>
      </x:c>
    </x:row>
    <x:row r="24" ht="15" hidden="0" customHeight="1">
      <x:c r="A24" s="13" t="str">
        <x:v>E-20</x:v>
      </x:c>
      <x:c r="B24" s="13" t="str">
        <x:v>Manual técnico y despliegue</x:v>
      </x:c>
      <x:c r="C24" s="13" t="str">
        <x:v>Grupal</x:v>
      </x:c>
      <x:c r="D24" s="13" t="str">
        <x:v>F2</x:v>
      </x:c>
      <x:c r="E24" s="13" t="n">
        <x:v>16</x:v>
      </x:c>
      <x:c r="F24" s="13" t="str">
        <x:v>Equipo</x:v>
      </x:c>
      <x:c r="G24" s="13" t="str">
        <x:v>Pendiente</x:v>
      </x:c>
      <x:c r="H24" s="13" t="str">
        <x:v>docs/manual-tecnico</x:v>
      </x:c>
      <x:c r="I24" s="13" t="str">
        <x:v>Instructivo</x:v>
      </x:c>
      <x:c r="J24" s="13" t="str">
        <x:v>Docker, variables, ejecución</x:v>
      </x:c>
    </x:row>
    <x:row r="25" ht="15" hidden="0" customHeight="1">
      <x:c r="A25" s="13" t="str">
        <x:v>E-21</x:v>
      </x:c>
      <x:c r="B25" s="13" t="str">
        <x:v>Manual de usuario</x:v>
      </x:c>
      <x:c r="C25" s="13" t="str">
        <x:v>Grupal</x:v>
      </x:c>
      <x:c r="D25" s="13" t="str">
        <x:v>F2</x:v>
      </x:c>
      <x:c r="E25" s="13" t="n">
        <x:v>16</x:v>
      </x:c>
      <x:c r="F25" s="13" t="str">
        <x:v>Agustín Sorolla</x:v>
      </x:c>
      <x:c r="G25" s="13" t="str">
        <x:v>Pendiente</x:v>
      </x:c>
      <x:c r="H25" s="13" t="str">
        <x:v>docs/manual-usuario</x:v>
      </x:c>
      <x:c r="I25" s="13" t="str">
        <x:v>Necesidad del proyecto</x:v>
      </x:c>
      <x:c r="J25" s="13" t="str">
        <x:v>Por rol</x:v>
      </x:c>
    </x:row>
    <x:row r="26" ht="15" hidden="0" customHeight="1">
      <x:c r="A26" s="13" t="str">
        <x:v>E-22</x:v>
      </x:c>
      <x:c r="B26" s="13" t="str">
        <x:v>README repositorio</x:v>
      </x:c>
      <x:c r="C26" s="13" t="str">
        <x:v>Grupal</x:v>
      </x:c>
      <x:c r="D26" s="13" t="str">
        <x:v>Todas</x:v>
      </x:c>
      <x:c r="E26" s="13" t="n">
        <x:v>2</x:v>
      </x:c>
      <x:c r="F26" s="13" t="str">
        <x:v>Agustín Sorolla</x:v>
      </x:c>
      <x:c r="G26" s="13" t="str">
        <x:v>Pendiente</x:v>
      </x:c>
      <x:c r="H26" s="13" t="str">
        <x:v>README.md</x:v>
      </x:c>
      <x:c r="I26" s="13" t="str">
        <x:v>Instructivo</x:v>
      </x:c>
      <x:c r="J26" s="13" t="str">
        <x:v>Mantener actualizado</x:v>
      </x:c>
    </x:row>
    <x:row r="27" ht="15" hidden="0" customHeight="1">
      <x:c r="A27" s="13" t="str">
        <x:v>E-23</x:v>
      </x:c>
      <x:c r="B27" s="13" t="str">
        <x:v>Informe avance Fase 2</x:v>
      </x:c>
      <x:c r="C27" s="13" t="str">
        <x:v>Grupal</x:v>
      </x:c>
      <x:c r="D27" s="13" t="str">
        <x:v>F2</x:v>
      </x:c>
      <x:c r="E27" s="13" t="n">
        <x:v>10</x:v>
      </x:c>
      <x:c r="F27" s="13" t="str">
        <x:v>Equipo</x:v>
      </x:c>
      <x:c r="G27" s="13" t="str">
        <x:v>Pendiente</x:v>
      </x:c>
      <x:c r="H27" s="13" t="str">
        <x:v>Informe + evidencia</x:v>
      </x:c>
      <x:c r="I27" s="13" t="str">
        <x:v>Cronograma</x:v>
      </x:c>
      <x:c r="J27" s="13" t="str">
        <x:v>20%</x:v>
      </x:c>
    </x:row>
    <x:row r="28" ht="15" hidden="0" customHeight="1">
      <x:c r="A28" s="13" t="str">
        <x:v>E-24</x:v>
      </x:c>
      <x:c r="B28" s="13" t="str">
        <x:v>Informe/presentación final Fase 2</x:v>
      </x:c>
      <x:c r="C28" s="13" t="str">
        <x:v>Grupal</x:v>
      </x:c>
      <x:c r="D28" s="13" t="str">
        <x:v>F2</x:v>
      </x:c>
      <x:c r="E28" s="13" t="n">
        <x:v>15</x:v>
      </x:c>
      <x:c r="F28" s="13" t="str">
        <x:v>Equipo</x:v>
      </x:c>
      <x:c r="G28" s="13" t="str">
        <x:v>Pendiente</x:v>
      </x:c>
      <x:c r="H28" s="13" t="str">
        <x:v>Informe + presentación</x:v>
      </x:c>
      <x:c r="I28" s="13" t="str">
        <x:v>Cronograma</x:v>
      </x:c>
      <x:c r="J28" s="13" t="str">
        <x:v>30%</x:v>
      </x:c>
    </x:row>
    <x:row r="29" ht="15" hidden="0" customHeight="1">
      <x:c r="A29" s="13" t="str">
        <x:v>E-25</x:v>
      </x:c>
      <x:c r="B29" s="13" t="str">
        <x:v>Presentación comisión Fase 3</x:v>
      </x:c>
      <x:c r="C29" s="13" t="str">
        <x:v>Grupal</x:v>
      </x:c>
      <x:c r="D29" s="13" t="str">
        <x:v>F3</x:v>
      </x:c>
      <x:c r="E29" s="13" t="n">
        <x:v>18</x:v>
      </x:c>
      <x:c r="F29" s="13" t="str">
        <x:v>Equipo</x:v>
      </x:c>
      <x:c r="G29" s="13" t="str">
        <x:v>Pendiente</x:v>
      </x:c>
      <x:c r="H29" s="13" t="str">
        <x:v>Presentación + demo</x:v>
      </x:c>
      <x:c r="I29" s="13" t="str">
        <x:v>Cronograma</x:v>
      </x:c>
      <x:c r="J29" s="13" t="str">
        <x:v>30%</x:v>
      </x:c>
    </x:row>
    <x:row r="30" ht="15" hidden="0" customHeight="1">
      <x:c r="A30" s="13" t="str">
        <x:v>E-26</x:v>
      </x:c>
      <x:c r="B30" s="13" t="str">
        <x:v>Retrospectiva del proyecto</x:v>
      </x:c>
      <x:c r="C30" s="13" t="str">
        <x:v>Grupal</x:v>
      </x:c>
      <x:c r="D30" s="13" t="str">
        <x:v>F3</x:v>
      </x:c>
      <x:c r="E30" s="13" t="n">
        <x:v>18</x:v>
      </x:c>
      <x:c r="F30" s="13" t="str">
        <x:v>Equipo</x:v>
      </x:c>
      <x:c r="G30" s="13" t="str">
        <x:v>Pendiente</x:v>
      </x:c>
      <x:c r="H30" s="13" t="str">
        <x:v>Acta final</x:v>
      </x:c>
      <x:c r="I30" s="13" t="str">
        <x:v>Listado documentos</x:v>
      </x:c>
      <x:c r="J30" s="13" t="str">
        <x:v>Aprendizajes y acciones</x:v>
      </x:c>
    </x:row>
  </x:sheetData>
  <x:mergeCells>
    <x:mergeCell ref="A1:J1"/>
    <x:mergeCell ref="A2:J2"/>
  </x:mergeCells>
  <x:conditionalFormatting sqref="G5:G30">
    <x:cfRule type="containsText" dxfId="11" priority="1" operator="containsText" text="Terminado"/>
    <x:cfRule type="containsText" dxfId="12" priority="2" operator="containsText" text="En curso"/>
    <x:cfRule type="containsText" dxfId="13" priority="3" operator="containsText" text="Bloqueado"/>
  </x:conditionalFormatting>
  <x:dataValidations count="1">
    <x:dataValidation type="list" sqref="G5:G30">
      <x:formula1>"Pendiente,En curso,Bloqueado,Terminado"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0" hidden="0" customWidth="1"/>
    <x:col min="3" max="3" width="45" hidden="0" customWidth="1"/>
    <x:col min="4" max="4" width="30" hidden="0" customWidth="1"/>
    <x:col min="5" max="5" width="20" hidden="0" customWidth="1"/>
    <x:col min="6" max="6" width="14" hidden="0" customWidth="1"/>
    <x:col min="7" max="7" width="13" hidden="0" customWidth="1"/>
  </x:cols>
  <x:sheetData>
    <x:row r="1" ht="21.600000381469727" hidden="0" customHeight="1">
      <x:c r="A1" s="4" t="str">
        <x:v>Cobertura de la rúbrica · Fase 1</x:v>
      </x:c>
      <x:c r="B1" s="4" t="str">
        <x:v>Cobertura de la rúbrica · Fase 1</x:v>
      </x:c>
      <x:c r="C1" s="4" t="str">
        <x:v>Cobertura de la rúbrica · Fase 1</x:v>
      </x:c>
      <x:c r="D1" s="4" t="str">
        <x:v>Cobertura de la rúbrica · Fase 1</x:v>
      </x:c>
      <x:c r="E1" s="4" t="str">
        <x:v>Cobertura de la rúbrica · Fase 1</x:v>
      </x:c>
      <x:c r="F1" s="4" t="str">
        <x:v>Cobertura de la rúbrica · Fase 1</x:v>
      </x:c>
      <x:c r="G1" s="4" t="str">
        <x:v>Cobertura de la rúbrica · Fase 1</x:v>
      </x:c>
    </x:row>
    <x:row r="2" ht="15" hidden="0" customHeight="1">
      <x:c r="A2" s="7" t="str">
        <x:v>Pesos transcritos de la planilla de evaluación; evidencia y responsable propuestos</x:v>
      </x:c>
      <x:c r="B2" s="7" t="str">
        <x:v>Pesos transcritos de la planilla de evaluación; evidencia y responsable propuestos</x:v>
      </x:c>
      <x:c r="C2" s="7" t="str">
        <x:v>Pesos transcritos de la planilla de evaluación; evidencia y responsable propuestos</x:v>
      </x:c>
      <x:c r="D2" s="7" t="str">
        <x:v>Pesos transcritos de la planilla de evaluación; evidencia y responsable propuestos</x:v>
      </x:c>
      <x:c r="E2" s="7" t="str">
        <x:v>Pesos transcritos de la planilla de evaluación; evidencia y responsable propuestos</x:v>
      </x:c>
      <x:c r="F2" s="7" t="str">
        <x:v>Pesos transcritos de la planilla de evaluación; evidencia y responsable propuestos</x:v>
      </x:c>
      <x:c r="G2" s="7" t="str">
        <x:v>Pesos transcritos de la planilla de evaluación; evidencia y responsable propuestos</x:v>
      </x:c>
    </x:row>
    <x:row r="3"/>
    <x:row r="4" ht="15" hidden="0" customHeight="1">
      <x:c r="A4" s="21" t="str">
        <x:v>Criterio</x:v>
      </x:c>
      <x:c r="B4" s="21" t="str">
        <x:v>Peso %</x:v>
      </x:c>
      <x:c r="C4" s="21" t="str">
        <x:v>Qué debe demostrarse</x:v>
      </x:c>
      <x:c r="D4" s="21" t="str">
        <x:v>Evidencia planificada</x:v>
      </x:c>
      <x:c r="E4" s="21" t="str">
        <x:v>Responsable</x:v>
      </x:c>
      <x:c r="F4" s="21" t="str">
        <x:v>Estado</x:v>
      </x:c>
      <x:c r="G4" s="21" t="str">
        <x:v>Modalidad</x:v>
      </x:c>
    </x:row>
    <x:row r="5" ht="15" hidden="0" customHeight="1">
      <x:c r="A5" s="13" t="str">
        <x:v>Relevancia del proyecto</x:v>
      </x:c>
      <x:c r="B5" s="13" t="n">
        <x:v>10</x:v>
      </x:c>
      <x:c r="C5" s="13" t="str">
        <x:v>Fundamentación con problema, usuarios, impacto y validación</x:v>
      </x:c>
      <x:c r="D5" s="13" t="str">
        <x:v>Documento 1.5 + actas</x:v>
      </x:c>
      <x:c r="E5" s="13" t="str">
        <x:v>Joel López</x:v>
      </x:c>
      <x:c r="F5" s="13" t="str">
        <x:v>En curso</x:v>
      </x:c>
      <x:c r="G5" s="13" t="str">
        <x:v>Grupal</x:v>
      </x:c>
    </x:row>
    <x:row r="6" ht="15" hidden="0" customHeight="1">
      <x:c r="A6" s="13" t="str">
        <x:v>Relación con perfil de egreso</x:v>
      </x:c>
      <x:c r="B6" s="13" t="n">
        <x:v>5</x:v>
      </x:c>
      <x:c r="C6" s="13" t="str">
        <x:v>Competencias y áreas disciplinares explícitas</x:v>
      </x:c>
      <x:c r="D6" s="13" t="str">
        <x:v>Documento 1.5</x:v>
      </x:c>
      <x:c r="E6" s="13" t="str">
        <x:v>Equipo</x:v>
      </x:c>
      <x:c r="F6" s="13" t="str">
        <x:v>En curso</x:v>
      </x:c>
      <x:c r="G6" s="13" t="str">
        <x:v>Grupal</x:v>
      </x:c>
    </x:row>
    <x:row r="7" ht="15" hidden="0" customHeight="1">
      <x:c r="A7" s="13" t="str">
        <x:v>Relación con intereses profesionales</x:v>
      </x:c>
      <x:c r="B7" s="13" t="n">
        <x:v>10</x:v>
      </x:c>
      <x:c r="C7" s="13" t="str">
        <x:v>Intereses de cada integrante y conexión explícita con el proyecto</x:v>
      </x:c>
      <x:c r="D7" s="13" t="str">
        <x:v>Documento 1.5 + reflexión</x:v>
      </x:c>
      <x:c r="E7" s="13" t="str">
        <x:v>Cada integrante</x:v>
      </x:c>
      <x:c r="F7" s="13" t="str">
        <x:v>En curso</x:v>
      </x:c>
      <x:c r="G7" s="13" t="str">
        <x:v>Individual</x:v>
      </x:c>
    </x:row>
    <x:row r="8" ht="15" hidden="0" customHeight="1">
      <x:c r="A8" s="13" t="str">
        <x:v>Factibilidad</x:v>
      </x:c>
      <x:c r="B8" s="13" t="n">
        <x:v>5</x:v>
      </x:c>
      <x:c r="C8" s="13" t="str">
        <x:v>Recursos, restricciones, riesgos y plan viable</x:v>
      </x:c>
      <x:c r="D8" s="13" t="str">
        <x:v>Documento 1.5 + riesgos</x:v>
      </x:c>
      <x:c r="E8" s="13" t="str">
        <x:v>Matías Martínez</x:v>
      </x:c>
      <x:c r="F8" s="13" t="str">
        <x:v>En curso</x:v>
      </x:c>
      <x:c r="G8" s="13" t="str">
        <x:v>Grupal</x:v>
      </x:c>
    </x:row>
    <x:row r="9" ht="15" hidden="0" customHeight="1">
      <x:c r="A9" s="13" t="str">
        <x:v>Objetivos</x:v>
      </x:c>
      <x:c r="B9" s="13" t="n">
        <x:v>5</x:v>
      </x:c>
      <x:c r="C9" s="13" t="str">
        <x:v>Objetivo general y específicos medibles/coherentes</x:v>
      </x:c>
      <x:c r="D9" s="13" t="str">
        <x:v>Documento 1.5</x:v>
      </x:c>
      <x:c r="E9" s="13" t="str">
        <x:v>Joel López</x:v>
      </x:c>
      <x:c r="F9" s="13" t="str">
        <x:v>En curso</x:v>
      </x:c>
      <x:c r="G9" s="13" t="str">
        <x:v>Grupal</x:v>
      </x:c>
    </x:row>
    <x:row r="10" ht="15" hidden="0" customHeight="1">
      <x:c r="A10" s="13" t="str">
        <x:v>Metodología</x:v>
      </x:c>
      <x:c r="B10" s="13" t="n">
        <x:v>10</x:v>
      </x:c>
      <x:c r="C10" s="13" t="str">
        <x:v>Scrum justificado, roles, eventos y artefactos</x:v>
      </x:c>
      <x:c r="D10" s="13" t="str">
        <x:v>Documento 1.5 + plan maestro</x:v>
      </x:c>
      <x:c r="E10" s="13" t="str">
        <x:v>Agustín Sorolla</x:v>
      </x:c>
      <x:c r="F10" s="13" t="str">
        <x:v>En curso</x:v>
      </x:c>
      <x:c r="G10" s="13" t="str">
        <x:v>Grupal</x:v>
      </x:c>
    </x:row>
    <x:row r="11" ht="15" hidden="0" customHeight="1">
      <x:c r="A11" s="13" t="str">
        <x:v>Plan de trabajo</x:v>
      </x:c>
      <x:c r="B11" s="13" t="n">
        <x:v>10</x:v>
      </x:c>
      <x:c r="C11" s="13" t="str">
        <x:v>Actividades, responsables, hitos y 18 semanas</x:v>
      </x:c>
      <x:c r="D11" s="13" t="str">
        <x:v>Gantt + sprints</x:v>
      </x:c>
      <x:c r="E11" s="13" t="str">
        <x:v>Equipo</x:v>
      </x:c>
      <x:c r="F11" s="13" t="str">
        <x:v>En curso</x:v>
      </x:c>
      <x:c r="G11" s="13" t="str">
        <x:v>Grupal</x:v>
      </x:c>
    </x:row>
    <x:row r="12" ht="15" hidden="0" customHeight="1">
      <x:c r="A12" s="13" t="str">
        <x:v>Evidencias</x:v>
      </x:c>
      <x:c r="B12" s="13" t="n">
        <x:v>5</x:v>
      </x:c>
      <x:c r="C12" s="13" t="str">
        <x:v>Fuentes y productos verificables vinculados a objetivos</x:v>
      </x:c>
      <x:c r="D12" s="13" t="str">
        <x:v>Matriz entregables</x:v>
      </x:c>
      <x:c r="E12" s="13" t="str">
        <x:v>Matías Martínez</x:v>
      </x:c>
      <x:c r="F12" s="13" t="str">
        <x:v>En curso</x:v>
      </x:c>
      <x:c r="G12" s="13" t="str">
        <x:v>Grupal</x:v>
      </x:c>
    </x:row>
    <x:row r="13" ht="15" hidden="0" customHeight="1">
      <x:c r="A13" s="13" t="str">
        <x:v>Redacción y citas</x:v>
      </x:c>
      <x:c r="B13" s="13" t="n">
        <x:v>5</x:v>
      </x:c>
      <x:c r="C13" s="13" t="str">
        <x:v>Coherencia, ortografía y referencias</x:v>
      </x:c>
      <x:c r="D13" s="13" t="str">
        <x:v>Documento final</x:v>
      </x:c>
      <x:c r="E13" s="13" t="str">
        <x:v>Equipo</x:v>
      </x:c>
      <x:c r="F13" s="13" t="str">
        <x:v>Pendiente</x:v>
      </x:c>
      <x:c r="G13" s="13" t="str">
        <x:v>Grupal</x:v>
      </x:c>
    </x:row>
    <x:row r="14" ht="15" hidden="0" customHeight="1">
      <x:c r="A14" s="13" t="str">
        <x:v>Uso de plantilla</x:v>
      </x:c>
      <x:c r="B14" s="13" t="n">
        <x:v>5</x:v>
      </x:c>
      <x:c r="C14" s="13" t="str">
        <x:v>Estructura y formato institucional respetados</x:v>
      </x:c>
      <x:c r="D14" s="13" t="str">
        <x:v>Documento 1.5</x:v>
      </x:c>
      <x:c r="E14" s="13" t="str">
        <x:v>Joel López</x:v>
      </x:c>
      <x:c r="F14" s="13" t="str">
        <x:v>Terminado</x:v>
      </x:c>
      <x:c r="G14" s="13" t="str">
        <x:v>Grupal</x:v>
      </x:c>
    </x:row>
    <x:row r="15" ht="15" hidden="0" customHeight="1">
      <x:c r="A15" s="13" t="str">
        <x:v>Comunicación oral/técnica</x:v>
      </x:c>
      <x:c r="B15" s="13" t="n">
        <x:v>10</x:v>
      </x:c>
      <x:c r="C15" s="13" t="str">
        <x:v>Relato claro, soporte visual y dominio</x:v>
      </x:c>
      <x:c r="D15" s="13" t="str">
        <x:v>Presentación + ensayo</x:v>
      </x:c>
      <x:c r="E15" s="13" t="str">
        <x:v>Equipo</x:v>
      </x:c>
      <x:c r="F15" s="13" t="str">
        <x:v>Pendiente</x:v>
      </x:c>
      <x:c r="G15" s="13" t="str">
        <x:v>Grupal</x:v>
      </x:c>
    </x:row>
    <x:row r="16" ht="15" hidden="0" customHeight="1">
      <x:c r="A16" s="13" t="str">
        <x:v>Cumplimiento de hitos</x:v>
      </x:c>
      <x:c r="B16" s="13" t="n">
        <x:v>10</x:v>
      </x:c>
      <x:c r="C16" s="13" t="str">
        <x:v>Entregas oportunas y trazables</x:v>
      </x:c>
      <x:c r="D16" s="13" t="str">
        <x:v>Cronograma + GitHub</x:v>
      </x:c>
      <x:c r="E16" s="13" t="str">
        <x:v>Scrum Master</x:v>
      </x:c>
      <x:c r="F16" s="13" t="str">
        <x:v>Pendiente</x:v>
      </x:c>
      <x:c r="G16" s="13" t="str">
        <x:v>Grupal</x:v>
      </x:c>
    </x:row>
    <x:row r="17" ht="15" hidden="0" customHeight="1">
      <x:c r="A17" s="13" t="str">
        <x:v>Trabajo en equipo</x:v>
      </x:c>
      <x:c r="B17" s="13" t="n">
        <x:v>10</x:v>
      </x:c>
      <x:c r="C17" s="13" t="str">
        <x:v>Colaboración, responsabilidad y participación equitativa</x:v>
      </x:c>
      <x:c r="D17" s="13" t="str">
        <x:v>Autoevaluaciones/diarios</x:v>
      </x:c>
      <x:c r="E17" s="13" t="str">
        <x:v>Cada integrante</x:v>
      </x:c>
      <x:c r="F17" s="13" t="str">
        <x:v>Pendiente</x:v>
      </x:c>
      <x:c r="G17" s="13" t="str">
        <x:v>Individual</x:v>
      </x:c>
    </x:row>
    <x:row r="18" ht="15" hidden="0" customHeight="1">
      <x:c r="B18" s="30" t="str">
        <x:v>Total</x:v>
      </x:c>
      <x:c r="C18" s="30" t="n">
        <x:f>SUM(B5:B17)</x:f>
        <x:v>100</x:v>
      </x:c>
    </x:row>
  </x:sheetData>
  <x:mergeCells>
    <x:mergeCell ref="A1:G1"/>
    <x:mergeCell ref="A2:G2"/>
  </x:mergeCells>
  <x:conditionalFormatting sqref="F5:F17">
    <x:cfRule type="containsText" dxfId="14" priority="1" operator="containsText" text="Terminado"/>
    <x:cfRule type="containsText" dxfId="15" priority="2" operator="containsText" text="En curso"/>
    <x:cfRule type="containsText" dxfId="16" priority="3" operator="containsText" text="Bloqueado"/>
  </x:conditionalFormatting>
  <x:dataValidations count="1">
    <x:dataValidation type="list" sqref="F5:F17">
      <x:formula1>"Pendiente,En curso,Bloqueado,Terminado"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8" hidden="0" customWidth="1"/>
    <x:col min="3" max="3" width="20" hidden="0" customWidth="1"/>
    <x:col min="4" max="4" width="20" hidden="0" customWidth="1"/>
    <x:col min="5" max="5" width="22" hidden="0" customWidth="1"/>
    <x:col min="6" max="6" width="30" hidden="0" customWidth="1"/>
  </x:cols>
  <x:sheetData>
    <x:row r="1" ht="21.600000381469727" hidden="0" customHeight="1">
      <x:c r="A1" s="4" t="str">
        <x:v>Matriz RACI propuesta</x:v>
      </x:c>
      <x:c r="B1" s="4" t="str">
        <x:v>Matriz RACI propuesta</x:v>
      </x:c>
      <x:c r="C1" s="4" t="str">
        <x:v>Matriz RACI propuesta</x:v>
      </x:c>
      <x:c r="D1" s="4" t="str">
        <x:v>Matriz RACI propuesta</x:v>
      </x:c>
      <x:c r="E1" s="4" t="str">
        <x:v>Matriz RACI propuesta</x:v>
      </x:c>
      <x:c r="F1" s="4" t="str">
        <x:v>Matriz RACI propuesta</x:v>
      </x:c>
    </x:row>
    <x:row r="2" ht="15" hidden="0" customHeight="1">
      <x:c r="A2" s="7" t="str">
        <x:v>R = responsable · A = accountable/aprueba · C = consultado · I = informado</x:v>
      </x:c>
      <x:c r="B2" s="7" t="str">
        <x:v>R = responsable · A = accountable/aprueba · C = consultado · I = informado</x:v>
      </x:c>
      <x:c r="C2" s="7" t="str">
        <x:v>R = responsable · A = accountable/aprueba · C = consultado · I = informado</x:v>
      </x:c>
      <x:c r="D2" s="7" t="str">
        <x:v>R = responsable · A = accountable/aprueba · C = consultado · I = informado</x:v>
      </x:c>
      <x:c r="E2" s="7" t="str">
        <x:v>R = responsable · A = accountable/aprueba · C = consultado · I = informado</x:v>
      </x:c>
      <x:c r="F2" s="7" t="str">
        <x:v>R = responsable · A = accountable/aprueba · C = consultado · I = informado</x:v>
      </x:c>
    </x:row>
    <x:row r="3"/>
    <x:row r="4" ht="15" hidden="0" customHeight="1">
      <x:c r="A4" s="21" t="str">
        <x:v>Actividad</x:v>
      </x:c>
      <x:c r="B4" s="21" t="str">
        <x:v>Joel López</x:v>
      </x:c>
      <x:c r="C4" s="21" t="str">
        <x:v>Agustín Sorolla</x:v>
      </x:c>
      <x:c r="D4" s="21" t="str">
        <x:v>Matías Martínez</x:v>
      </x:c>
      <x:c r="E4" s="21" t="str">
        <x:v>Docente/contraparte</x:v>
      </x:c>
      <x:c r="F4" s="21" t="str">
        <x:v>Nota</x:v>
      </x:c>
    </x:row>
    <x:row r="5" ht="15" hidden="0" customHeight="1">
      <x:c r="A5" s="13" t="str">
        <x:v>Visión y priorización</x:v>
      </x:c>
      <x:c r="B5" s="25" t="str">
        <x:v>R/A</x:v>
      </x:c>
      <x:c r="C5" s="25" t="str">
        <x:v>C</x:v>
      </x:c>
      <x:c r="D5" s="25" t="str">
        <x:v>C</x:v>
      </x:c>
      <x:c r="E5" s="25" t="str">
        <x:v>C</x:v>
      </x:c>
      <x:c r="F5" s="13" t="str">
        <x:v>Validar con contraparte</x:v>
      </x:c>
    </x:row>
    <x:row r="6" ht="15" hidden="0" customHeight="1">
      <x:c r="A6" s="13" t="str">
        <x:v>Facilitación Scrum</x:v>
      </x:c>
      <x:c r="B6" s="25" t="str">
        <x:v>C</x:v>
      </x:c>
      <x:c r="C6" s="25" t="str">
        <x:v>R/A</x:v>
      </x:c>
      <x:c r="D6" s="25" t="str">
        <x:v>C</x:v>
      </x:c>
      <x:c r="E6" s="25" t="str">
        <x:v>I</x:v>
      </x:c>
      <x:c r="F6" s="13" t="str">
        <x:v>Eventos y métricas</x:v>
      </x:c>
    </x:row>
    <x:row r="7" ht="15" hidden="0" customHeight="1">
      <x:c r="A7" s="13" t="str">
        <x:v>Arquitectura y decisiones técnicas</x:v>
      </x:c>
      <x:c r="B7" s="25" t="str">
        <x:v>R/A</x:v>
      </x:c>
      <x:c r="C7" s="25" t="str">
        <x:v>C</x:v>
      </x:c>
      <x:c r="D7" s="25" t="str">
        <x:v>C</x:v>
      </x:c>
      <x:c r="E7" s="25" t="str">
        <x:v>C</x:v>
      </x:c>
      <x:c r="F7" s="13" t="str">
        <x:v>ADR obligatoria</x:v>
      </x:c>
    </x:row>
    <x:row r="8" ht="15" hidden="0" customHeight="1">
      <x:c r="A8" s="13" t="str">
        <x:v>UX y frontend</x:v>
      </x:c>
      <x:c r="B8" s="25" t="str">
        <x:v>C</x:v>
      </x:c>
      <x:c r="C8" s="25" t="str">
        <x:v>R/A</x:v>
      </x:c>
      <x:c r="D8" s="25" t="str">
        <x:v>C</x:v>
      </x:c>
      <x:c r="E8" s="25" t="str">
        <x:v>C</x:v>
      </x:c>
      <x:c r="F8" s="13" t="str">
        <x:v>Pruebas con usuarios</x:v>
      </x:c>
    </x:row>
    <x:row r="9" ht="15" hidden="0" customHeight="1">
      <x:c r="A9" s="13" t="str">
        <x:v>Modelo de datos</x:v>
      </x:c>
      <x:c r="B9" s="25" t="str">
        <x:v>C</x:v>
      </x:c>
      <x:c r="C9" s="25" t="str">
        <x:v>C</x:v>
      </x:c>
      <x:c r="D9" s="25" t="str">
        <x:v>R/A</x:v>
      </x:c>
      <x:c r="E9" s="25" t="str">
        <x:v>I</x:v>
      </x:c>
      <x:c r="F9" s="13" t="str">
        <x:v>Diccionario y ER</x:v>
      </x:c>
    </x:row>
    <x:row r="10" ht="15" hidden="0" customHeight="1">
      <x:c r="A10" s="13" t="str">
        <x:v>Backend y seguridad</x:v>
      </x:c>
      <x:c r="B10" s="25" t="str">
        <x:v>R</x:v>
      </x:c>
      <x:c r="C10" s="25" t="str">
        <x:v>R</x:v>
      </x:c>
      <x:c r="D10" s="25" t="str">
        <x:v>C</x:v>
      </x:c>
      <x:c r="E10" s="25" t="str">
        <x:v>I</x:v>
      </x:c>
      <x:c r="F10" s="13" t="str">
        <x:v>Trabajo compartido</x:v>
      </x:c>
    </x:row>
    <x:row r="11" ht="15" hidden="0" customHeight="1">
      <x:c r="A11" s="13" t="str">
        <x:v>Pruebas y calidad</x:v>
      </x:c>
      <x:c r="B11" s="25" t="str">
        <x:v>C</x:v>
      </x:c>
      <x:c r="C11" s="25" t="str">
        <x:v>R</x:v>
      </x:c>
      <x:c r="D11" s="25" t="str">
        <x:v>R/A</x:v>
      </x:c>
      <x:c r="E11" s="25" t="str">
        <x:v>I</x:v>
      </x:c>
      <x:c r="F11" s="13" t="str">
        <x:v>Evidencia por sprint</x:v>
      </x:c>
    </x:row>
    <x:row r="12" ht="15" hidden="0" customHeight="1">
      <x:c r="A12" s="13" t="str">
        <x:v>Documentación académica</x:v>
      </x:c>
      <x:c r="B12" s="25" t="str">
        <x:v>R/A</x:v>
      </x:c>
      <x:c r="C12" s="25" t="str">
        <x:v>R</x:v>
      </x:c>
      <x:c r="D12" s="25" t="str">
        <x:v>R</x:v>
      </x:c>
      <x:c r="E12" s="25" t="str">
        <x:v>C</x:v>
      </x:c>
      <x:c r="F12" s="13" t="str">
        <x:v>Revisión cruzada</x:v>
      </x:c>
    </x:row>
    <x:row r="13" ht="15" hidden="0" customHeight="1">
      <x:c r="A13" s="13" t="str">
        <x:v>Presentaciones</x:v>
      </x:c>
      <x:c r="B13" s="25" t="str">
        <x:v>R</x:v>
      </x:c>
      <x:c r="C13" s="25" t="str">
        <x:v>R</x:v>
      </x:c>
      <x:c r="D13" s="25" t="str">
        <x:v>R</x:v>
      </x:c>
      <x:c r="E13" s="25" t="str">
        <x:v>C</x:v>
      </x:c>
      <x:c r="F13" s="13" t="str">
        <x:v>Todos exponen</x:v>
      </x:c>
    </x:row>
    <x:row r="14" ht="15" hidden="0" customHeight="1">
      <x:c r="A14" s="13" t="str">
        <x:v>Aceptación de incremento</x:v>
      </x:c>
      <x:c r="B14" s="25" t="str">
        <x:v>R/A</x:v>
      </x:c>
      <x:c r="C14" s="25" t="str">
        <x:v>C</x:v>
      </x:c>
      <x:c r="D14" s="25" t="str">
        <x:v>C</x:v>
      </x:c>
      <x:c r="E14" s="25" t="str">
        <x:v>C</x:v>
      </x:c>
      <x:c r="F14" s="13" t="str">
        <x:v>Criterios definidos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8" hidden="0" customWidth="1"/>
    <x:col min="3" max="3" width="9" hidden="0" customWidth="1"/>
    <x:col min="4" max="4" width="10" hidden="0" customWidth="1"/>
    <x:col min="5" max="5" width="11" hidden="0" customWidth="1"/>
    <x:col min="6" max="6" width="48" hidden="0" customWidth="1"/>
    <x:col min="7" max="7" width="20" hidden="0" customWidth="1"/>
    <x:col min="8" max="8" width="30" hidden="0" customWidth="1"/>
    <x:col min="9" max="9" width="15" hidden="0" customWidth="1"/>
    <x:col min="10" max="10" width="15" hidden="0" customWidth="1"/>
  </x:cols>
  <x:sheetData>
    <x:row r="1" ht="21.600000381469727" hidden="0" customHeight="1">
      <x:c r="A1" s="4" t="str">
        <x:v>Registro inicial de riesgos</x:v>
      </x:c>
      <x:c r="B1" s="4" t="str">
        <x:v>Registro inicial de riesgos</x:v>
      </x:c>
      <x:c r="C1" s="4" t="str">
        <x:v>Registro inicial de riesgos</x:v>
      </x:c>
      <x:c r="D1" s="4" t="str">
        <x:v>Registro inicial de riesgos</x:v>
      </x:c>
      <x:c r="E1" s="4" t="str">
        <x:v>Registro inicial de riesgos</x:v>
      </x:c>
      <x:c r="F1" s="4" t="str">
        <x:v>Registro inicial de riesgos</x:v>
      </x:c>
      <x:c r="G1" s="4" t="str">
        <x:v>Registro inicial de riesgos</x:v>
      </x:c>
      <x:c r="H1" s="4" t="str">
        <x:v>Registro inicial de riesgos</x:v>
      </x:c>
      <x:c r="I1" s="4" t="str">
        <x:v>Registro inicial de riesgos</x:v>
      </x:c>
      <x:c r="J1" s="4" t="str">
        <x:v>Registro inicial de riesgos</x:v>
      </x:c>
    </x:row>
    <x:row r="2" ht="15" hidden="0" customHeight="1">
      <x:c r="A2" s="7" t="str">
        <x:v>Escala: Probabilidad 1–3 × Impacto 1–3; puntaje 6–9 requiere seguimiento prioritario</x:v>
      </x:c>
      <x:c r="B2" s="7" t="str">
        <x:v>Escala: Probabilidad 1–3 × Impacto 1–3; puntaje 6–9 requiere seguimiento prioritario</x:v>
      </x:c>
      <x:c r="C2" s="7" t="str">
        <x:v>Escala: Probabilidad 1–3 × Impacto 1–3; puntaje 6–9 requiere seguimiento prioritario</x:v>
      </x:c>
      <x:c r="D2" s="7" t="str">
        <x:v>Escala: Probabilidad 1–3 × Impacto 1–3; puntaje 6–9 requiere seguimiento prioritario</x:v>
      </x:c>
      <x:c r="E2" s="7" t="str">
        <x:v>Escala: Probabilidad 1–3 × Impacto 1–3; puntaje 6–9 requiere seguimiento prioritario</x:v>
      </x:c>
      <x:c r="F2" s="7" t="str">
        <x:v>Escala: Probabilidad 1–3 × Impacto 1–3; puntaje 6–9 requiere seguimiento prioritario</x:v>
      </x:c>
      <x:c r="G2" s="7" t="str">
        <x:v>Escala: Probabilidad 1–3 × Impacto 1–3; puntaje 6–9 requiere seguimiento prioritario</x:v>
      </x:c>
      <x:c r="H2" s="7" t="str">
        <x:v>Escala: Probabilidad 1–3 × Impacto 1–3; puntaje 6–9 requiere seguimiento prioritario</x:v>
      </x:c>
      <x:c r="I2" s="7" t="str">
        <x:v>Escala: Probabilidad 1–3 × Impacto 1–3; puntaje 6–9 requiere seguimiento prioritario</x:v>
      </x:c>
      <x:c r="J2" s="7" t="str">
        <x:v>Escala: Probabilidad 1–3 × Impacto 1–3; puntaje 6–9 requiere seguimiento prioritario</x:v>
      </x:c>
    </x:row>
    <x:row r="3"/>
    <x:row r="4" ht="15" hidden="0" customHeight="1">
      <x:c r="A4" s="21" t="str">
        <x:v>ID</x:v>
      </x:c>
      <x:c r="B4" s="21" t="str">
        <x:v>Riesgo</x:v>
      </x:c>
      <x:c r="C4" s="21" t="str">
        <x:v>Prob.</x:v>
      </x:c>
      <x:c r="D4" s="21" t="str">
        <x:v>Impacto</x:v>
      </x:c>
      <x:c r="E4" s="21" t="str">
        <x:v>Puntaje</x:v>
      </x:c>
      <x:c r="F4" s="21" t="str">
        <x:v>Mitigación / respuesta</x:v>
      </x:c>
      <x:c r="G4" s="21" t="str">
        <x:v>Owner</x:v>
      </x:c>
      <x:c r="H4" s="21" t="str">
        <x:v>Disparador</x:v>
      </x:c>
      <x:c r="I4" s="21" t="str">
        <x:v>Estado</x:v>
      </x:c>
      <x:c r="J4" s="21" t="str">
        <x:v>Categoría</x:v>
      </x:c>
    </x:row>
    <x:row r="5" ht="15" hidden="0" customHeight="1">
      <x:c r="A5" s="13" t="str">
        <x:v>R-01</x:v>
      </x:c>
      <x:c r="B5" s="13" t="str">
        <x:v>Sin contraparte o validación real</x:v>
      </x:c>
      <x:c r="C5" s="13" t="n">
        <x:v>3</x:v>
      </x:c>
      <x:c r="D5" s="13" t="n">
        <x:v>3</x:v>
      </x:c>
      <x:c r="E5" s="13" t="n">
        <x:f>C5*D5</x:f>
        <x:v>9</x:v>
      </x:c>
      <x:c r="F5" s="13" t="str">
        <x:v>Confirmar establecimiento y calendarizar validaciones quincenales.</x:v>
      </x:c>
      <x:c r="G5" s="13" t="str">
        <x:v>Joel López</x:v>
      </x:c>
      <x:c r="H5" s="13" t="str">
        <x:v>No hay contacto en semana 2</x:v>
      </x:c>
      <x:c r="I5" s="13" t="str">
        <x:v>Abierto</x:v>
      </x:c>
      <x:c r="J5" s="13" t="str">
        <x:v>Producto</x:v>
      </x:c>
    </x:row>
    <x:row r="6" ht="21.600000381469727" hidden="0" customHeight="1">
      <x:c r="A6" s="13" t="str">
        <x:v>R-02</x:v>
      </x:c>
      <x:c r="B6" s="13" t="str">
        <x:v>Alcance excesivo para 18 semanas</x:v>
      </x:c>
      <x:c r="C6" s="13" t="n">
        <x:v>3</x:v>
      </x:c>
      <x:c r="D6" s="13" t="n">
        <x:v>3</x:v>
      </x:c>
      <x:c r="E6" s="13" t="n">
        <x:f>C6*D6</x:f>
        <x:v>9</x:v>
      </x:c>
      <x:c r="F6" s="13" t="str">
        <x:v>MVP Must; control de cambios; recortar Could/Should antes de sacrificar calidad.</x:v>
      </x:c>
      <x:c r="G6" s="13" t="str">
        <x:v>Product Owner</x:v>
      </x:c>
      <x:c r="H6" s="13" t="str">
        <x:v>Velocidad insuficiente 2 sprints</x:v>
      </x:c>
      <x:c r="I6" s="13" t="str">
        <x:v>Abierto</x:v>
      </x:c>
      <x:c r="J6" s="13" t="str">
        <x:v>Alcance</x:v>
      </x:c>
    </x:row>
    <x:row r="7" ht="15" hidden="0" customHeight="1">
      <x:c r="A7" s="13" t="str">
        <x:v>R-03</x:v>
      </x:c>
      <x:c r="B7" s="13" t="str">
        <x:v>Datos personales/educacionales sensibles</x:v>
      </x:c>
      <x:c r="C7" s="13" t="n">
        <x:v>2</x:v>
      </x:c>
      <x:c r="D7" s="13" t="n">
        <x:v>3</x:v>
      </x:c>
      <x:c r="E7" s="13" t="n">
        <x:f>C7*D7</x:f>
        <x:v>6</x:v>
      </x:c>
      <x:c r="F7" s="13" t="str">
        <x:v>Datos sintéticos o anonimizados; RBAC; logs; mínimo privilegio.</x:v>
      </x:c>
      <x:c r="G7" s="13" t="str">
        <x:v>Joel López</x:v>
      </x:c>
      <x:c r="H7" s="13" t="str">
        <x:v>Solicitud de datos reales sin acuerdo</x:v>
      </x:c>
      <x:c r="I7" s="13" t="str">
        <x:v>Abierto</x:v>
      </x:c>
      <x:c r="J7" s="13" t="str">
        <x:v>Seguridad</x:v>
      </x:c>
    </x:row>
    <x:row r="8" ht="15" hidden="0" customHeight="1">
      <x:c r="A8" s="13" t="str">
        <x:v>R-04</x:v>
      </x:c>
      <x:c r="B8" s="13" t="str">
        <x:v>Retraso en documentación y evidencias</x:v>
      </x:c>
      <x:c r="C8" s="13" t="n">
        <x:v>3</x:v>
      </x:c>
      <x:c r="D8" s="13" t="n">
        <x:v>2</x:v>
      </x:c>
      <x:c r="E8" s="13" t="n">
        <x:f>C8*D8</x:f>
        <x:v>6</x:v>
      </x:c>
      <x:c r="F8" s="13" t="str">
        <x:v>Definition of Done incluye evidencia; cierre documental dentro del sprint.</x:v>
      </x:c>
      <x:c r="G8" s="13" t="str">
        <x:v>Agustín Sorolla</x:v>
      </x:c>
      <x:c r="H8" s="13" t="str">
        <x:v>Acta/evidencia faltante al Review</x:v>
      </x:c>
      <x:c r="I8" s="13" t="str">
        <x:v>Abierto</x:v>
      </x:c>
      <x:c r="J8" s="13" t="str">
        <x:v>Gestión</x:v>
      </x:c>
    </x:row>
    <x:row r="9" ht="15" hidden="0" customHeight="1">
      <x:c r="A9" s="13" t="str">
        <x:v>R-05</x:v>
      </x:c>
      <x:c r="B9" s="13" t="str">
        <x:v>Integración tardía entre módulos</x:v>
      </x:c>
      <x:c r="C9" s="13" t="n">
        <x:v>2</x:v>
      </x:c>
      <x:c r="D9" s="13" t="n">
        <x:v>3</x:v>
      </x:c>
      <x:c r="E9" s="13" t="n">
        <x:f>C9*D9</x:f>
        <x:v>6</x:v>
      </x:c>
      <x:c r="F9" s="13" t="str">
        <x:v>CI desde Sprint 2; integración diaria; contratos API; pruebas automáticas.</x:v>
      </x:c>
      <x:c r="G9" s="13" t="str">
        <x:v>Equipo</x:v>
      </x:c>
      <x:c r="H9" s="13" t="str">
        <x:v>Ramas &gt;3 días sin integrar</x:v>
      </x:c>
      <x:c r="I9" s="13" t="str">
        <x:v>Abierto</x:v>
      </x:c>
      <x:c r="J9" s="13" t="str">
        <x:v>Técnico</x:v>
      </x:c>
    </x:row>
    <x:row r="10" ht="21.600000381469727" hidden="0" customHeight="1">
      <x:c r="A10" s="13" t="str">
        <x:v>R-06</x:v>
      </x:c>
      <x:c r="B10" s="13" t="str">
        <x:v>Baja calidad de reglas de alerta</x:v>
      </x:c>
      <x:c r="C10" s="13" t="n">
        <x:v>2</x:v>
      </x:c>
      <x:c r="D10" s="13" t="n">
        <x:v>3</x:v>
      </x:c>
      <x:c r="E10" s="13" t="n">
        <x:f>C10*D10</x:f>
        <x:v>6</x:v>
      </x:c>
      <x:c r="F10" s="13" t="str">
        <x:v>Reglas explicables; validar umbrales; medir falsos positivos; permitir configuración.</x:v>
      </x:c>
      <x:c r="G10" s="13" t="str">
        <x:v>Matías Martínez</x:v>
      </x:c>
      <x:c r="H10" s="13" t="str">
        <x:v>Alertas no accionables</x:v>
      </x:c>
      <x:c r="I10" s="13" t="str">
        <x:v>Abierto</x:v>
      </x:c>
      <x:c r="J10" s="13" t="str">
        <x:v>Producto</x:v>
      </x:c>
    </x:row>
    <x:row r="11" ht="15" hidden="0" customHeight="1">
      <x:c r="A11" s="13" t="str">
        <x:v>R-07</x:v>
      </x:c>
      <x:c r="B11" s="13" t="str">
        <x:v>Ausencia de un integrante</x:v>
      </x:c>
      <x:c r="C11" s="13" t="n">
        <x:v>2</x:v>
      </x:c>
      <x:c r="D11" s="13" t="n">
        <x:v>2</x:v>
      </x:c>
      <x:c r="E11" s="13" t="n">
        <x:f>C11*D11</x:f>
        <x:v>4</x:v>
      </x:c>
      <x:c r="F11" s="13" t="str">
        <x:v>Documentación compartida, pares, rotación y tareas pequeñas.</x:v>
      </x:c>
      <x:c r="G11" s="13" t="str">
        <x:v>Scrum Master</x:v>
      </x:c>
      <x:c r="H11" s="13" t="str">
        <x:v>Bloqueo &gt;2 días</x:v>
      </x:c>
      <x:c r="I11" s="13" t="str">
        <x:v>Abierto</x:v>
      </x:c>
      <x:c r="J11" s="13" t="str">
        <x:v>Equipo</x:v>
      </x:c>
    </x:row>
    <x:row r="12" ht="15" hidden="0" customHeight="1">
      <x:c r="A12" s="13" t="str">
        <x:v>R-08</x:v>
      </x:c>
      <x:c r="B12" s="13" t="str">
        <x:v>Falla en demo o despliegue</x:v>
      </x:c>
      <x:c r="C12" s="13" t="n">
        <x:v>2</x:v>
      </x:c>
      <x:c r="D12" s="13" t="n">
        <x:v>3</x:v>
      </x:c>
      <x:c r="E12" s="13" t="n">
        <x:f>C12*D12</x:f>
        <x:v>6</x:v>
      </x:c>
      <x:c r="F12" s="13" t="str">
        <x:v>Docker reproducible; checklist; respaldo local; ensayo y video corto.</x:v>
      </x:c>
      <x:c r="G12" s="13" t="str">
        <x:v>Agustín Sorolla</x:v>
      </x:c>
      <x:c r="H12" s="13" t="str">
        <x:v>Build inestable semana 14</x:v>
      </x:c>
      <x:c r="I12" s="13" t="str">
        <x:v>Abierto</x:v>
      </x:c>
      <x:c r="J12" s="13" t="str">
        <x:v>Operación</x:v>
      </x:c>
    </x:row>
    <x:row r="13" ht="15" hidden="0" customHeight="1">
      <x:c r="A13" s="13" t="str">
        <x:v>R-09</x:v>
      </x:c>
      <x:c r="B13" s="13" t="str">
        <x:v>Pruebas no representativas</x:v>
      </x:c>
      <x:c r="C13" s="13" t="n">
        <x:v>2</x:v>
      </x:c>
      <x:c r="D13" s="13" t="n">
        <x:v>2</x:v>
      </x:c>
      <x:c r="E13" s="13" t="n">
        <x:f>C13*D13</x:f>
        <x:v>4</x:v>
      </x:c>
      <x:c r="F13" s="13" t="str">
        <x:v>Casos trazados a criterios; datos límite; pruebas seguridad/rendimiento.</x:v>
      </x:c>
      <x:c r="G13" s="13" t="str">
        <x:v>Matías Martínez</x:v>
      </x:c>
      <x:c r="H13" s="13" t="str">
        <x:v>Cobertura de criterios incompleta</x:v>
      </x:c>
      <x:c r="I13" s="13" t="str">
        <x:v>Abierto</x:v>
      </x:c>
      <x:c r="J13" s="13" t="str">
        <x:v>Calidad</x:v>
      </x:c>
    </x:row>
    <x:row r="14" ht="15" hidden="0" customHeight="1">
      <x:c r="A14" s="13" t="str">
        <x:v>R-10</x:v>
      </x:c>
      <x:c r="B14" s="13" t="str">
        <x:v>Incumplimiento de hitos Duoc</x:v>
      </x:c>
      <x:c r="C14" s="13" t="n">
        <x:v>2</x:v>
      </x:c>
      <x:c r="D14" s="13" t="n">
        <x:v>3</x:v>
      </x:c>
      <x:c r="E14" s="13" t="n">
        <x:f>C14*D14</x:f>
        <x:v>6</x:v>
      </x:c>
      <x:c r="F14" s="13" t="str">
        <x:v>Calendario visible; revisión semanal; buffer en sprints de evaluación.</x:v>
      </x:c>
      <x:c r="G14" s="13" t="str">
        <x:v>Equipo</x:v>
      </x:c>
      <x:c r="H14" s="13" t="str">
        <x:v>Desviación &gt;3 días</x:v>
      </x:c>
      <x:c r="I14" s="13" t="str">
        <x:v>Abierto</x:v>
      </x:c>
      <x:c r="J14" s="13" t="str">
        <x:v>Académico</x:v>
      </x:c>
    </x:row>
  </x:sheetData>
  <x:mergeCells>
    <x:mergeCell ref="A1:J1"/>
    <x:mergeCell ref="A2:J2"/>
  </x:mergeCells>
  <x:conditionalFormatting sqref="E5:E14">
    <x:cfRule type="cellIs" dxfId="17" priority="1" operator="greaterThanOrEqual">
      <x:formula>6</x:formula>
    </x:cfRule>
    <x:cfRule type="cellIs" dxfId="18" priority="2" operator="between">
      <x:formula>3</x:formula>
      <x:formula>5</x:formula>
    </x:cfRule>
  </x:conditionalFormatting>
  <x:dataValidations count="2">
    <x:dataValidation type="whole" operator="between" sqref="C5:D14">
      <x:formula1>1</x:formula1>
      <x:formula2>3</x:formula2>
    </x:dataValidation>
    <x:dataValidation type="list" sqref="I5:I14">
      <x:formula1>"Abierto,En mitigación,Materializado,Cerrado"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55" hidden="0" customWidth="1"/>
    <x:col min="3" max="3" width="17" hidden="0" customWidth="1"/>
    <x:col min="4" max="4" width="30" hidden="0" customWidth="1"/>
    <x:col min="5" max="5" width="20" hidden="0" customWidth="1"/>
    <x:col min="6" max="6" width="14" hidden="0" customWidth="1"/>
  </x:cols>
  <x:sheetData>
    <x:row r="1" ht="21.600000381469727" hidden="0" customHeight="1">
      <x:c r="A1" s="4" t="str">
        <x:v>Definition of Done · SIGAA</x:v>
      </x:c>
      <x:c r="B1" s="4" t="str">
        <x:v>Definition of Done · SIGAA</x:v>
      </x:c>
      <x:c r="C1" s="4" t="str">
        <x:v>Definition of Done · SIGAA</x:v>
      </x:c>
      <x:c r="D1" s="4" t="str">
        <x:v>Definition of Done · SIGAA</x:v>
      </x:c>
      <x:c r="E1" s="4" t="str">
        <x:v>Definition of Done · SIGAA</x:v>
      </x:c>
      <x:c r="F1" s="4" t="str">
        <x:v>Definition of Done · SIGAA</x:v>
      </x:c>
    </x:row>
    <x:row r="2" ht="15" hidden="0" customHeight="1">
      <x:c r="A2" s="7" t="str">
        <x:v>Una historia solo se considera terminada cuando cumple los criterios aplicables y deja evidencia verificable</x:v>
      </x:c>
      <x:c r="B2" s="7" t="str">
        <x:v>Una historia solo se considera terminada cuando cumple los criterios aplicables y deja evidencia verificable</x:v>
      </x:c>
      <x:c r="C2" s="7" t="str">
        <x:v>Una historia solo se considera terminada cuando cumple los criterios aplicables y deja evidencia verificable</x:v>
      </x:c>
      <x:c r="D2" s="7" t="str">
        <x:v>Una historia solo se considera terminada cuando cumple los criterios aplicables y deja evidencia verificable</x:v>
      </x:c>
      <x:c r="E2" s="7" t="str">
        <x:v>Una historia solo se considera terminada cuando cumple los criterios aplicables y deja evidencia verificable</x:v>
      </x:c>
      <x:c r="F2" s="7" t="str">
        <x:v>Una historia solo se considera terminada cuando cumple los criterios aplicables y deja evidencia verificable</x:v>
      </x:c>
    </x:row>
    <x:row r="3"/>
    <x:row r="4" ht="15" hidden="0" customHeight="1">
      <x:c r="A4" s="21" t="str">
        <x:v>ID</x:v>
      </x:c>
      <x:c r="B4" s="21" t="str">
        <x:v>Criterio</x:v>
      </x:c>
      <x:c r="C4" s="21" t="str">
        <x:v>Dimensión</x:v>
      </x:c>
      <x:c r="D4" s="21" t="str">
        <x:v>Evidencia mínima</x:v>
      </x:c>
      <x:c r="E4" s="21" t="str">
        <x:v>Responsable</x:v>
      </x:c>
      <x:c r="F4" s="21" t="str">
        <x:v>Aplicación</x:v>
      </x:c>
    </x:row>
    <x:row r="5" ht="15" hidden="0" customHeight="1">
      <x:c r="A5" s="13" t="str">
        <x:v>DOD-01</x:v>
      </x:c>
      <x:c r="B5" s="13" t="str">
        <x:v>Criterios de aceptación cumplidos y demostrados.</x:v>
      </x:c>
      <x:c r="C5" s="13" t="str">
        <x:v>Funcional</x:v>
      </x:c>
      <x:c r="D5" s="13" t="str">
        <x:v>Captura/video/acta Review</x:v>
      </x:c>
      <x:c r="E5" s="13" t="str">
        <x:v>Equipo</x:v>
      </x:c>
      <x:c r="F5" s="13" t="str">
        <x:v>Sí</x:v>
      </x:c>
    </x:row>
    <x:row r="6" ht="15" hidden="0" customHeight="1">
      <x:c r="A6" s="13" t="str">
        <x:v>DOD-02</x:v>
      </x:c>
      <x:c r="B6" s="13" t="str">
        <x:v>Código revisado e integrado a rama acordada, sin secretos.</x:v>
      </x:c>
      <x:c r="C6" s="13" t="str">
        <x:v>Código</x:v>
      </x:c>
      <x:c r="D6" s="13" t="str">
        <x:v>PR / commit / revisión</x:v>
      </x:c>
      <x:c r="E6" s="13" t="str">
        <x:v>Equipo</x:v>
      </x:c>
      <x:c r="F6" s="13" t="str">
        <x:v>Sí</x:v>
      </x:c>
    </x:row>
    <x:row r="7" ht="15" hidden="0" customHeight="1">
      <x:c r="A7" s="13" t="str">
        <x:v>DOD-03</x:v>
      </x:c>
      <x:c r="B7" s="13" t="str">
        <x:v>Pruebas unitarias e integración relevantes pasan.</x:v>
      </x:c>
      <x:c r="C7" s="13" t="str">
        <x:v>Calidad</x:v>
      </x:c>
      <x:c r="D7" s="13" t="str">
        <x:v>Reporte automático</x:v>
      </x:c>
      <x:c r="E7" s="13" t="str">
        <x:v>Matías Martínez</x:v>
      </x:c>
      <x:c r="F7" s="13" t="str">
        <x:v>Sí</x:v>
      </x:c>
    </x:row>
    <x:row r="8" ht="15" hidden="0" customHeight="1">
      <x:c r="A8" s="13" t="str">
        <x:v>DOD-04</x:v>
      </x:c>
      <x:c r="B8" s="13" t="str">
        <x:v>Validaciones de seguridad y permisos ejecutadas.</x:v>
      </x:c>
      <x:c r="C8" s="13" t="str">
        <x:v>Seguridad</x:v>
      </x:c>
      <x:c r="D8" s="13" t="str">
        <x:v>Casos positivos/negativos</x:v>
      </x:c>
      <x:c r="E8" s="13" t="str">
        <x:v>Joel López</x:v>
      </x:c>
      <x:c r="F8" s="13" t="str">
        <x:v>Si aplica</x:v>
      </x:c>
    </x:row>
    <x:row r="9" ht="15" hidden="0" customHeight="1">
      <x:c r="A9" s="13" t="str">
        <x:v>DOD-05</x:v>
      </x:c>
      <x:c r="B9" s="13" t="str">
        <x:v>Manejo de errores y logging implementados sin datos sensibles.</x:v>
      </x:c>
      <x:c r="C9" s="13" t="str">
        <x:v>Operación</x:v>
      </x:c>
      <x:c r="D9" s="13" t="str">
        <x:v>Prueba / log sanitizado</x:v>
      </x:c>
      <x:c r="E9" s="13" t="str">
        <x:v>Equipo</x:v>
      </x:c>
      <x:c r="F9" s="13" t="str">
        <x:v>Si aplica</x:v>
      </x:c>
    </x:row>
    <x:row r="10" ht="15" hidden="0" customHeight="1">
      <x:c r="A10" s="13" t="str">
        <x:v>DOD-06</x:v>
      </x:c>
      <x:c r="B10" s="13" t="str">
        <x:v>Interfaz usable, responsiva y validada en flujo principal.</x:v>
      </x:c>
      <x:c r="C10" s="13" t="str">
        <x:v>UX</x:v>
      </x:c>
      <x:c r="D10" s="13" t="str">
        <x:v>Checklist / prueba usuario</x:v>
      </x:c>
      <x:c r="E10" s="13" t="str">
        <x:v>Agustín Sorolla</x:v>
      </x:c>
      <x:c r="F10" s="13" t="str">
        <x:v>Si aplica</x:v>
      </x:c>
    </x:row>
    <x:row r="11" ht="15" hidden="0" customHeight="1">
      <x:c r="A11" s="13" t="str">
        <x:v>DOD-07</x:v>
      </x:c>
      <x:c r="B11" s="13" t="str">
        <x:v>Modelo/contrato/API y diagramas actualizados.</x:v>
      </x:c>
      <x:c r="C11" s="13" t="str">
        <x:v>Diseño</x:v>
      </x:c>
      <x:c r="D11" s="13" t="str">
        <x:v>Documento versionado</x:v>
      </x:c>
      <x:c r="E11" s="13" t="str">
        <x:v>Owner técnico</x:v>
      </x:c>
      <x:c r="F11" s="13" t="str">
        <x:v>Si aplica</x:v>
      </x:c>
    </x:row>
    <x:row r="12" ht="15" hidden="0" customHeight="1">
      <x:c r="A12" s="13" t="str">
        <x:v>DOD-08</x:v>
      </x:c>
      <x:c r="B12" s="13" t="str">
        <x:v>Instrucciones y variables de entorno actualizadas.</x:v>
      </x:c>
      <x:c r="C12" s="13" t="str">
        <x:v>DevOps</x:v>
      </x:c>
      <x:c r="D12" s="13" t="str">
        <x:v>README / compose</x:v>
      </x:c>
      <x:c r="E12" s="13" t="str">
        <x:v>Agustín Sorolla</x:v>
      </x:c>
      <x:c r="F12" s="13" t="str">
        <x:v>Si aplica</x:v>
      </x:c>
    </x:row>
    <x:row r="13" ht="15" hidden="0" customHeight="1">
      <x:c r="A13" s="13" t="str">
        <x:v>DOD-09</x:v>
      </x:c>
      <x:c r="B13" s="13" t="str">
        <x:v>Evidencia enlazada a historia y sprint.</x:v>
      </x:c>
      <x:c r="C13" s="13" t="str">
        <x:v>Trazabilidad</x:v>
      </x:c>
      <x:c r="D13" s="13" t="str">
        <x:v>Issue / carpeta evidencia</x:v>
      </x:c>
      <x:c r="E13" s="13" t="str">
        <x:v>Scrum Master</x:v>
      </x:c>
      <x:c r="F13" s="13" t="str">
        <x:v>Sí</x:v>
      </x:c>
    </x:row>
    <x:row r="14" ht="15" hidden="0" customHeight="1">
      <x:c r="A14" s="13" t="str">
        <x:v>DOD-10</x:v>
      </x:c>
      <x:c r="B14" s="13" t="str">
        <x:v>Product Owner acepta el incremento contra criterios.</x:v>
      </x:c>
      <x:c r="C14" s="13" t="str">
        <x:v>Producto</x:v>
      </x:c>
      <x:c r="D14" s="13" t="str">
        <x:v>Acta Sprint Review</x:v>
      </x:c>
      <x:c r="E14" s="13" t="str">
        <x:v>Joel López</x:v>
      </x:c>
      <x:c r="F14" s="13" t="str">
        <x:v>Sí</x:v>
      </x:c>
    </x:row>
    <x:row r="15" ht="15" hidden="0" customHeight="1">
      <x:c r="A15" s="13" t="str">
        <x:v>DOD-11</x:v>
      </x:c>
      <x:c r="B15" s="13" t="str">
        <x:v>Sin defectos críticos abiertos; deuda registrada y priorizada.</x:v>
      </x:c>
      <x:c r="C15" s="13" t="str">
        <x:v>Calidad</x:v>
      </x:c>
      <x:c r="D15" s="13" t="str">
        <x:v>Registro defectos</x:v>
      </x:c>
      <x:c r="E15" s="13" t="str">
        <x:v>Equipo</x:v>
      </x:c>
      <x:c r="F15" s="13" t="str">
        <x:v>Sí</x:v>
      </x:c>
    </x:row>
    <x:row r="16" ht="15" hidden="0" customHeight="1">
      <x:c r="A16" s="13" t="str">
        <x:v>DOD-12</x:v>
      </x:c>
      <x:c r="B16" s="13" t="str">
        <x:v>Cumple privacidad, citación y reglas académicas aplicables.</x:v>
      </x:c>
      <x:c r="C16" s="13" t="str">
        <x:v>Cumplimiento</x:v>
      </x:c>
      <x:c r="D16" s="13" t="str">
        <x:v>Checklist entrega</x:v>
      </x:c>
      <x:c r="E16" s="13" t="str">
        <x:v>Equipo</x:v>
      </x:c>
      <x:c r="F16" s="13" t="str">
        <x:v>Sí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20" hidden="0" customWidth="1"/>
  </x:cols>
  <x:sheetData>
    <x:row r="1" ht="21.600000381469727" hidden="0" customHeight="1">
      <x:c r="A1" s="4" t="str">
        <x:v>Burndown · plantilla por sprint</x:v>
      </x:c>
      <x:c r="B1" s="4" t="str">
        <x:v>Burndown · plantilla por sprint</x:v>
      </x:c>
      <x:c r="C1" s="4" t="str">
        <x:v>Burndown · plantilla por sprint</x:v>
      </x:c>
      <x:c r="D1" s="4" t="str">
        <x:v>Burndown · plantilla por sprint</x:v>
      </x:c>
      <x:c r="E1" s="4" t="str">
        <x:v>Burndown · plantilla por sprint</x:v>
      </x:c>
      <x:c r="F1" s="4" t="str">
        <x:v>Burndown · plantilla por sprint</x:v>
      </x:c>
      <x:c r="G1" s="4" t="str">
        <x:v>Burndown · plantilla por sprint</x:v>
      </x:c>
      <x:c r="H1" s="4" t="str">
        <x:v>Burndown · plantilla por sprint</x:v>
      </x:c>
      <x:c r="I1" s="4" t="str">
        <x:v>Burndown · plantilla por sprint</x:v>
      </x:c>
      <x:c r="J1" s="4" t="str">
        <x:v>Burndown · plantilla por sprint</x:v>
      </x:c>
    </x:row>
    <x:row r="2" ht="15" hidden="0" customHeight="1">
      <x:c r="A2" s="7" t="str">
        <x:v>Completar la columna Real diariamente con trabajo restante; no registrar avance estimado como evidencia real</x:v>
      </x:c>
      <x:c r="B2" s="7" t="str">
        <x:v>Completar la columna Real diariamente con trabajo restante; no registrar avance estimado como evidencia real</x:v>
      </x:c>
      <x:c r="C2" s="7" t="str">
        <x:v>Completar la columna Real diariamente con trabajo restante; no registrar avance estimado como evidencia real</x:v>
      </x:c>
      <x:c r="D2" s="7" t="str">
        <x:v>Completar la columna Real diariamente con trabajo restante; no registrar avance estimado como evidencia real</x:v>
      </x:c>
      <x:c r="E2" s="7" t="str">
        <x:v>Completar la columna Real diariamente con trabajo restante; no registrar avance estimado como evidencia real</x:v>
      </x:c>
      <x:c r="F2" s="7" t="str">
        <x:v>Completar la columna Real diariamente con trabajo restante; no registrar avance estimado como evidencia real</x:v>
      </x:c>
      <x:c r="G2" s="7" t="str">
        <x:v>Completar la columna Real diariamente con trabajo restante; no registrar avance estimado como evidencia real</x:v>
      </x:c>
      <x:c r="H2" s="7" t="str">
        <x:v>Completar la columna Real diariamente con trabajo restante; no registrar avance estimado como evidencia real</x:v>
      </x:c>
      <x:c r="I2" s="7" t="str">
        <x:v>Completar la columna Real diariamente con trabajo restante; no registrar avance estimado como evidencia real</x:v>
      </x:c>
      <x:c r="J2" s="7" t="str">
        <x:v>Completar la columna Real diariamente con trabajo restante; no registrar avance estimado como evidencia real</x:v>
      </x:c>
    </x:row>
    <x:row r="3"/>
    <x:row r="4" ht="15" hidden="0" customHeight="1">
      <x:c r="A4" s="21" t="str">
        <x:v>Parámetro</x:v>
      </x:c>
      <x:c r="B4" s="21" t="str">
        <x:v>Valor</x:v>
      </x:c>
    </x:row>
    <x:row r="5" ht="15" hidden="0" customHeight="1">
      <x:c r="A5" s="13" t="str">
        <x:v>Sprint</x:v>
      </x:c>
      <x:c r="B5" s="13" t="str">
        <x:v>Sprint 0 · Inception</x:v>
      </x:c>
    </x:row>
    <x:row r="6" ht="21.600000381469727" hidden="0" customHeight="1">
      <x:c r="A6" s="13" t="str">
        <x:v>Puntos comprometidos</x:v>
      </x:c>
      <x:c r="B6" s="13" t="n">
        <x:v>21</x:v>
      </x:c>
    </x:row>
    <x:row r="7" ht="15" hidden="0" customHeight="1">
      <x:c r="A7" s="13" t="str">
        <x:v>Días hábiles</x:v>
      </x:c>
      <x:c r="B7" s="13" t="n">
        <x:v>10</x:v>
      </x:c>
    </x:row>
    <x:row r="8"/>
    <x:row r="9"/>
    <x:row r="10" ht="15" hidden="0" customHeight="1">
      <x:c r="A10" s="21" t="str">
        <x:v>Día</x:v>
      </x:c>
      <x:c r="B10" s="21" t="str">
        <x:v>Ideal</x:v>
      </x:c>
      <x:c r="C10" s="21" t="str">
        <x:v>Real</x:v>
      </x:c>
    </x:row>
    <x:row r="11" ht="15" hidden="0" customHeight="1">
      <x:c r="A11" s="13" t="n">
        <x:v>0</x:v>
      </x:c>
      <x:c r="B11" s="13" t="n">
        <x:f>$B$6*(1-A11/$B$7)</x:f>
        <x:v>21</x:v>
      </x:c>
      <x:c r="C11" s="13" t="n">
        <x:v>21</x:v>
      </x:c>
    </x:row>
    <x:row r="12" ht="15" hidden="0" customHeight="1">
      <x:c r="A12" s="13" t="n">
        <x:v>1</x:v>
      </x:c>
      <x:c r="B12" s="13" t="n">
        <x:f>$B$6*(1-A12/$B$7)</x:f>
        <x:v>18.900000000000002</x:v>
      </x:c>
      <x:c r="C12" s="13"/>
    </x:row>
    <x:row r="13" ht="15" hidden="0" customHeight="1">
      <x:c r="A13" s="13" t="n">
        <x:v>2</x:v>
      </x:c>
      <x:c r="B13" s="13" t="n">
        <x:f>$B$6*(1-A13/$B$7)</x:f>
        <x:v>16.8</x:v>
      </x:c>
      <x:c r="C13" s="13"/>
    </x:row>
    <x:row r="14" ht="15" hidden="0" customHeight="1">
      <x:c r="A14" s="13" t="n">
        <x:v>3</x:v>
      </x:c>
      <x:c r="B14" s="13" t="n">
        <x:f>$B$6*(1-A14/$B$7)</x:f>
        <x:v>14.7</x:v>
      </x:c>
      <x:c r="C14" s="13"/>
    </x:row>
    <x:row r="15" ht="15" hidden="0" customHeight="1">
      <x:c r="A15" s="13" t="n">
        <x:v>4</x:v>
      </x:c>
      <x:c r="B15" s="13" t="n">
        <x:f>$B$6*(1-A15/$B$7)</x:f>
        <x:v>12.6</x:v>
      </x:c>
      <x:c r="C15" s="13"/>
    </x:row>
    <x:row r="16" ht="15" hidden="0" customHeight="1">
      <x:c r="A16" s="13" t="n">
        <x:v>5</x:v>
      </x:c>
      <x:c r="B16" s="13" t="n">
        <x:f>$B$6*(1-A16/$B$7)</x:f>
        <x:v>10.5</x:v>
      </x:c>
      <x:c r="C16" s="13"/>
    </x:row>
    <x:row r="17" ht="15" hidden="0" customHeight="1">
      <x:c r="A17" s="13" t="n">
        <x:v>6</x:v>
      </x:c>
      <x:c r="B17" s="13" t="n">
        <x:f>$B$6*(1-A17/$B$7)</x:f>
        <x:v>8.4</x:v>
      </x:c>
      <x:c r="C17" s="13"/>
    </x:row>
    <x:row r="18" ht="15" hidden="0" customHeight="1">
      <x:c r="A18" s="13" t="n">
        <x:v>7</x:v>
      </x:c>
      <x:c r="B18" s="13" t="n">
        <x:f>$B$6*(1-A18/$B$7)</x:f>
        <x:v>6.300000000000001</x:v>
      </x:c>
      <x:c r="C18" s="13"/>
    </x:row>
    <x:row r="19" ht="15" hidden="0" customHeight="1">
      <x:c r="A19" s="13" t="n">
        <x:v>8</x:v>
      </x:c>
      <x:c r="B19" s="13" t="n">
        <x:f>$B$6*(1-A19/$B$7)</x:f>
        <x:v>4.199999999999999</x:v>
      </x:c>
      <x:c r="C19" s="13"/>
    </x:row>
    <x:row r="20" ht="15" hidden="0" customHeight="1">
      <x:c r="A20" s="13" t="n">
        <x:v>9</x:v>
      </x:c>
      <x:c r="B20" s="13" t="n">
        <x:f>$B$6*(1-A20/$B$7)</x:f>
        <x:v>2.0999999999999996</x:v>
      </x:c>
      <x:c r="C20" s="13"/>
    </x:row>
    <x:row r="21" ht="15" hidden="0" customHeight="1">
      <x:c r="A21" s="13" t="n">
        <x:v>10</x:v>
      </x:c>
      <x:c r="B21" s="13" t="n">
        <x:f>$B$6*(1-A21/$B$7)</x:f>
        <x:v>0</x:v>
      </x:c>
      <x:c r="C21" s="13"/>
    </x:row>
    <x:row r="22"/>
    <x:row r="23"/>
    <x:row r="24" ht="15" hidden="0" customHeight="1">
      <x:c r="A24" s="9" t="str">
        <x:v>Uso recomendado</x:v>
      </x:c>
      <x:c r="B24" s="9" t="str">
        <x:v>Uso recomendado</x:v>
      </x:c>
      <x:c r="C24" s="9" t="str">
        <x:v>Uso recomendado</x:v>
      </x:c>
      <x:c r="D24" s="9" t="str">
        <x:v>Uso recomendado</x:v>
      </x:c>
      <x:c r="E24" s="9" t="str">
        <x:v>Uso recomendado</x:v>
      </x:c>
      <x:c r="F24" s="9" t="str">
        <x:v>Uso recomendado</x:v>
      </x:c>
      <x:c r="G24" s="9" t="str">
        <x:v>Uso recomendado</x:v>
      </x:c>
      <x:c r="H24" s="9" t="str">
        <x:v>Uso recomendado</x:v>
      </x:c>
      <x:c r="I24" s="9" t="str">
        <x:v>Uso recomendado</x:v>
      </x:c>
      <x:c r="J24" s="9" t="str">
        <x:v>Uso recomendado</x:v>
      </x:c>
    </x:row>
    <x:row r="25" ht="24" hidden="0" customHeight="1">
      <x:c r="A25" s="34" t="str">
        <x:v>1. Duplicar esta hoja al iniciar cada sprint.  2. Reemplazar sprint, puntos y días.  3. Registrar diariamente el trabajo restante real.  4. Adjuntar el gráfico al Sprint Review y analizar desviaciones en la retrospectiva.</x:v>
      </x:c>
      <x:c r="B25" s="34"/>
      <x:c r="C25" s="34"/>
      <x:c r="D25" s="34"/>
      <x:c r="E25" s="34"/>
      <x:c r="F25" s="34"/>
      <x:c r="G25" s="34"/>
      <x:c r="H25" s="34"/>
      <x:c r="I25" s="34"/>
      <x:c r="J25" s="34"/>
    </x:row>
    <x:row r="26" ht="15" hidden="0" customHeight="1">
      <x:c r="A26" s="34" t="str">
        <x:v>La línea Real contiene únicamente el valor inicial; los demás días quedan deliberadamente vacíos hasta contar con evidencia.</x:v>
      </x:c>
      <x:c r="B26" s="34"/>
      <x:c r="C26" s="34"/>
      <x:c r="D26" s="34"/>
      <x:c r="E26" s="34"/>
      <x:c r="F26" s="34"/>
      <x:c r="G26" s="34"/>
      <x:c r="H26" s="34"/>
      <x:c r="I26" s="34"/>
      <x:c r="J26" s="34"/>
    </x:row>
    <x:row r="27" ht="15" hidden="0" customHeight="1">
      <x:c r="A27" s="34" t="str">
        <x:v>Fuente de los puntos: Sprint Backlog aprobado. Responsable de actualización: Scrum Master con validación del equipo.</x:v>
      </x:c>
      <x:c r="B27" s="34"/>
      <x:c r="C27" s="34"/>
      <x:c r="D27" s="34"/>
      <x:c r="E27" s="34"/>
      <x:c r="F27" s="34"/>
      <x:c r="G27" s="34"/>
      <x:c r="H27" s="34"/>
      <x:c r="I27" s="34"/>
      <x:c r="J27" s="34"/>
    </x:row>
  </x:sheetData>
  <x:mergeCells>
    <x:mergeCell ref="A1:J1"/>
    <x:mergeCell ref="A2:J2"/>
    <x:mergeCell ref="A24:J24"/>
    <x:mergeCell ref="A25:J25"/>
    <x:mergeCell ref="A26:J26"/>
    <x:mergeCell ref="A27:J27"/>
  </x:mergeCells>
  <x:dataValidations count="1">
    <x:dataValidation type="decimal" operator="between" sqref="C11:C21">
      <x:formula1>0</x:formula1>
      <x:formula2>200</x:formula2>
    </x:dataValidation>
  </x:dataValidations>
  <x:pageMargins left="0.7" right="0.7" top="0.75" bottom="0.75" header="0.3" footer="0.3"/>
  <x:drawing xmlns:r="http://schemas.openxmlformats.org/officeDocument/2006/relationships" r:id="R1997e53eb097422a"/>
</x:worksheet>
</file>